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2" codeName="{3D1A710C-6663-3D7B-7F91-EC182F24A4BC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D:\Users\guilh\Dropbox\My PC (LAPTOP-SEMFG0QR)\Desktop\Documentos Lote\Projetos para construção\"/>
    </mc:Choice>
  </mc:AlternateContent>
  <xr:revisionPtr revIDLastSave="0" documentId="8_{5FB7E171-08E3-41DD-A2BA-4DE4AFD57DE3}" xr6:coauthVersionLast="36" xr6:coauthVersionMax="36" xr10:uidLastSave="{00000000-0000-0000-0000-000000000000}"/>
  <bookViews>
    <workbookView xWindow="0" yWindow="0" windowWidth="23040" windowHeight="9780" activeTab="5" xr2:uid="{00000000-000D-0000-FFFF-FFFF00000000}"/>
  </bookViews>
  <sheets>
    <sheet name="Proposta_Constr_Individual" sheetId="14" r:id="rId1"/>
    <sheet name="Lista" sheetId="15" state="veryHidden" r:id="rId2"/>
    <sheet name="PLS" sheetId="24" r:id="rId3"/>
    <sheet name="Calculos_Cronograma" sheetId="26" state="hidden" r:id="rId4"/>
    <sheet name="Reprog_Cronograma" sheetId="20" r:id="rId5"/>
    <sheet name="Reprog_Projeto_Especific" sheetId="23" r:id="rId6"/>
    <sheet name="Regras" sheetId="16" state="veryHidden" r:id="rId7"/>
  </sheets>
  <functionGroups builtInGroupCount="19"/>
  <definedNames>
    <definedName name="_xlnm.Print_Area" localSheetId="2">PLS!$F$49:$AX$222</definedName>
    <definedName name="_xlnm.Print_Area" localSheetId="0">Proposta_Constr_Individual!$F$34:$AY$192</definedName>
    <definedName name="_xlnm.Print_Area" localSheetId="4">Reprog_Cronograma!$F$31:$AX$195</definedName>
    <definedName name="_xlnm.Print_Area" localSheetId="5">Reprog_Projeto_Especific!$F$31:$AX$110</definedName>
    <definedName name="G_AS">Reprog_Cronograma!$AK$174:$AW$174</definedName>
    <definedName name="G_Ini">Reprog_Cronograma!$J$60</definedName>
    <definedName name="J_AS">Reprog_Projeto_Especific!$AK$91:$AW$91</definedName>
    <definedName name="J_ini">Reprog_Projeto_Especific!$G$58</definedName>
    <definedName name="L_AS">#REF!</definedName>
    <definedName name="L_F01">#REF!</definedName>
    <definedName name="L_F02">#REF!</definedName>
    <definedName name="L_F03">#REF!</definedName>
    <definedName name="L_F04">#REF!</definedName>
    <definedName name="L_F05">#REF!</definedName>
    <definedName name="L_F06">#REF!</definedName>
    <definedName name="L_F07">#REF!</definedName>
    <definedName name="L_F08">#REF!</definedName>
    <definedName name="L_F09">#REF!</definedName>
    <definedName name="L_F10">#REF!</definedName>
    <definedName name="L_Ini">#REF!</definedName>
    <definedName name="P_AS">Proposta_Constr_Individual!$AB$36:$AN$36</definedName>
    <definedName name="P_F01">Proposta_Constr_Individual!$G$142</definedName>
    <definedName name="P_Ini">Proposta_Constr_Individual!$G$44</definedName>
    <definedName name="PerConc">PLS!$BH$64</definedName>
    <definedName name="quadro2" localSheetId="4">Reprog_Cronograma!$A$207</definedName>
    <definedName name="quadro2" localSheetId="5">Reprog_Projeto_Especific!$A$122</definedName>
    <definedName name="quadro2">Proposta_Constr_Individual!$A$204</definedName>
    <definedName name="S_AS">PLS!$AB$51:$AN$51</definedName>
    <definedName name="S_F01">PLS!#REF!</definedName>
    <definedName name="S_F02">PLS!#REF!</definedName>
    <definedName name="S_F03">PLS!#REF!</definedName>
    <definedName name="S_F04">PLS!#REF!</definedName>
    <definedName name="S_F05">PLS!#REF!</definedName>
    <definedName name="S_F06">PLS!#REF!</definedName>
    <definedName name="S_F07">PLS!#REF!</definedName>
    <definedName name="S_F08">PLS!#REF!</definedName>
    <definedName name="S_F09">PLS!#REF!</definedName>
    <definedName name="S_F10">PLS!#REF!</definedName>
    <definedName name="S_Ini">PLS!$G$59</definedName>
    <definedName name="_xlnm.Print_Titles" localSheetId="2">PLS!$50:$55</definedName>
    <definedName name="_xlnm.Print_Titles" localSheetId="0">Proposta_Constr_Individual!$35:$39</definedName>
    <definedName name="_xlnm.Print_Titles" localSheetId="4">Reprog_Cronograma!$31:$36</definedName>
    <definedName name="_xlnm.Print_Titles" localSheetId="5">Reprog_Projeto_Especific!$31:$36</definedName>
  </definedNames>
  <calcPr calcId="191029"/>
</workbook>
</file>

<file path=xl/calcChain.xml><?xml version="1.0" encoding="utf-8"?>
<calcChain xmlns="http://schemas.openxmlformats.org/spreadsheetml/2006/main">
  <c r="P96" i="20" l="1"/>
  <c r="P95" i="20"/>
  <c r="P94" i="20"/>
  <c r="P93" i="20"/>
  <c r="P92" i="20"/>
  <c r="P91" i="20"/>
  <c r="P90" i="20"/>
  <c r="P89" i="20"/>
  <c r="P88" i="20"/>
  <c r="P87" i="20"/>
  <c r="P86" i="20"/>
  <c r="P85" i="20"/>
  <c r="P84" i="20"/>
  <c r="P83" i="20"/>
  <c r="P82" i="20"/>
  <c r="P81" i="20"/>
  <c r="P80" i="20"/>
  <c r="P79" i="20"/>
  <c r="P78" i="20"/>
  <c r="P77" i="20"/>
  <c r="P76" i="20"/>
  <c r="P75" i="20"/>
  <c r="P74" i="20"/>
  <c r="P73" i="20"/>
  <c r="P72" i="20"/>
  <c r="P71" i="20"/>
  <c r="P70" i="20"/>
  <c r="P69" i="20"/>
  <c r="P68" i="20"/>
  <c r="P67" i="20"/>
  <c r="P66" i="20"/>
  <c r="P65" i="20"/>
  <c r="P64" i="20"/>
  <c r="P63" i="20"/>
  <c r="P62" i="20"/>
  <c r="P61" i="20"/>
  <c r="P60" i="20"/>
  <c r="W60" i="20" s="1"/>
  <c r="AN61" i="20"/>
  <c r="AQ60" i="20"/>
  <c r="AQ73" i="24"/>
  <c r="AK73" i="24"/>
  <c r="W61" i="20" l="1"/>
  <c r="W62" i="20" s="1"/>
  <c r="W63" i="20" s="1"/>
  <c r="W64" i="20" s="1"/>
  <c r="W65" i="20" s="1"/>
  <c r="W66" i="20" s="1"/>
  <c r="W67" i="20" s="1"/>
  <c r="W68" i="20" s="1"/>
  <c r="W69" i="20" s="1"/>
  <c r="W70" i="20" s="1"/>
  <c r="W71" i="20" s="1"/>
  <c r="W72" i="20" s="1"/>
  <c r="W73" i="20" s="1"/>
  <c r="W74" i="20" s="1"/>
  <c r="W75" i="20" s="1"/>
  <c r="W76" i="20" s="1"/>
  <c r="W77" i="20" s="1"/>
  <c r="W78" i="20" s="1"/>
  <c r="W79" i="20" s="1"/>
  <c r="W80" i="20" s="1"/>
  <c r="W81" i="20" s="1"/>
  <c r="W82" i="20" s="1"/>
  <c r="W83" i="20" s="1"/>
  <c r="W84" i="20" s="1"/>
  <c r="W85" i="20" s="1"/>
  <c r="W86" i="20" s="1"/>
  <c r="W87" i="20" s="1"/>
  <c r="W88" i="20" s="1"/>
  <c r="W89" i="20" s="1"/>
  <c r="W90" i="20" s="1"/>
  <c r="W91" i="20" s="1"/>
  <c r="W92" i="20" s="1"/>
  <c r="W93" i="20" s="1"/>
  <c r="W94" i="20" s="1"/>
  <c r="W95" i="20" s="1"/>
  <c r="W96" i="20" s="1"/>
  <c r="AQ61" i="20"/>
  <c r="AQ62" i="20" s="1"/>
  <c r="AQ63" i="20" s="1"/>
  <c r="AQ64" i="20" s="1"/>
  <c r="AQ65" i="20" s="1"/>
  <c r="AQ66" i="20" s="1"/>
  <c r="AQ67" i="20" s="1"/>
  <c r="AQ68" i="20" s="1"/>
  <c r="AQ69" i="20" s="1"/>
  <c r="AQ70" i="20" s="1"/>
  <c r="AQ71" i="20" s="1"/>
  <c r="AQ72" i="20" s="1"/>
  <c r="AQ73" i="20" s="1"/>
  <c r="AQ74" i="20" s="1"/>
  <c r="AQ75" i="20" s="1"/>
  <c r="AQ76" i="20" s="1"/>
  <c r="AQ77" i="20" s="1"/>
  <c r="AQ78" i="20" s="1"/>
  <c r="AQ79" i="20" s="1"/>
  <c r="AQ80" i="20" s="1"/>
  <c r="AQ81" i="20" s="1"/>
  <c r="AQ82" i="20" s="1"/>
  <c r="AQ83" i="20" s="1"/>
  <c r="AQ84" i="20" s="1"/>
  <c r="AQ85" i="20" s="1"/>
  <c r="AQ86" i="20" s="1"/>
  <c r="AQ87" i="20" s="1"/>
  <c r="AQ88" i="20" s="1"/>
  <c r="AQ89" i="20" s="1"/>
  <c r="AQ90" i="20" s="1"/>
  <c r="AQ91" i="20" s="1"/>
  <c r="AQ92" i="20" s="1"/>
  <c r="AQ93" i="20" s="1"/>
  <c r="AQ94" i="20" s="1"/>
  <c r="AQ95" i="20" s="1"/>
  <c r="AQ96" i="20" s="1"/>
  <c r="AN62" i="20"/>
  <c r="AN63" i="20" s="1"/>
  <c r="AN64" i="20" s="1"/>
  <c r="AN65" i="20" s="1"/>
  <c r="AN66" i="20" s="1"/>
  <c r="AN67" i="20" s="1"/>
  <c r="AN68" i="20" s="1"/>
  <c r="AN69" i="20" s="1"/>
  <c r="AN70" i="20" s="1"/>
  <c r="AN71" i="20" s="1"/>
  <c r="AN72" i="20" s="1"/>
  <c r="AN73" i="20" s="1"/>
  <c r="AN74" i="20" s="1"/>
  <c r="AN75" i="20" s="1"/>
  <c r="AN76" i="20" s="1"/>
  <c r="AN77" i="20" s="1"/>
  <c r="AN78" i="20" s="1"/>
  <c r="AN79" i="20" s="1"/>
  <c r="AN80" i="20" s="1"/>
  <c r="AN81" i="20" s="1"/>
  <c r="AN82" i="20" s="1"/>
  <c r="AN83" i="20" s="1"/>
  <c r="AN84" i="20" s="1"/>
  <c r="AN85" i="20" s="1"/>
  <c r="AN86" i="20" s="1"/>
  <c r="AN87" i="20" s="1"/>
  <c r="AN88" i="20" s="1"/>
  <c r="AN89" i="20" s="1"/>
  <c r="AN90" i="20" s="1"/>
  <c r="AN91" i="20" s="1"/>
  <c r="AN92" i="20" s="1"/>
  <c r="AN93" i="20" s="1"/>
  <c r="AN94" i="20" s="1"/>
  <c r="AN95" i="20" s="1"/>
  <c r="AN96" i="20" s="1"/>
  <c r="P97" i="20"/>
  <c r="BB79" i="14"/>
  <c r="BB80" i="14"/>
  <c r="BB81" i="14"/>
  <c r="BB82" i="14"/>
  <c r="BB83" i="14"/>
  <c r="BB84" i="14"/>
  <c r="BB85" i="14"/>
  <c r="BB86" i="14"/>
  <c r="BB87" i="14"/>
  <c r="BB88" i="14"/>
  <c r="BB89" i="14"/>
  <c r="AJ97" i="20" l="1"/>
  <c r="AN97" i="20"/>
  <c r="AT128" i="14"/>
  <c r="AP128" i="14"/>
  <c r="AP33" i="23"/>
  <c r="AP33" i="20"/>
  <c r="AP51" i="24"/>
  <c r="AP36" i="14"/>
  <c r="AR63" i="14"/>
  <c r="W66" i="14"/>
  <c r="W65" i="14"/>
  <c r="W64" i="14"/>
  <c r="W63" i="14"/>
  <c r="AC101" i="24"/>
  <c r="BB71" i="14"/>
  <c r="G76" i="14" s="1"/>
  <c r="AC72" i="14"/>
  <c r="AT131" i="14" s="1"/>
  <c r="AC80" i="24"/>
  <c r="AN120" i="14"/>
  <c r="AX120" i="14"/>
  <c r="D51" i="24"/>
  <c r="C51" i="24"/>
  <c r="B51" i="24"/>
  <c r="A49" i="24"/>
  <c r="AC78" i="24"/>
  <c r="BC113" i="24"/>
  <c r="BC108" i="24"/>
  <c r="BC109" i="24"/>
  <c r="BC110" i="24"/>
  <c r="BC111" i="24"/>
  <c r="BC112" i="24"/>
  <c r="G41" i="20"/>
  <c r="AF163" i="20" s="1"/>
  <c r="Y41" i="20"/>
  <c r="AK41" i="20"/>
  <c r="AF164" i="20" s="1"/>
  <c r="AQ41" i="20"/>
  <c r="AS41" i="20"/>
  <c r="G44" i="20"/>
  <c r="Q44" i="20"/>
  <c r="AB44" i="20"/>
  <c r="AI44" i="20"/>
  <c r="AK44" i="20"/>
  <c r="AQ44" i="20"/>
  <c r="AS44" i="20"/>
  <c r="G47" i="20"/>
  <c r="AF168" i="20" s="1"/>
  <c r="Q47" i="20"/>
  <c r="AB47" i="20"/>
  <c r="AI47" i="20"/>
  <c r="AK47" i="20"/>
  <c r="AF169" i="20" s="1"/>
  <c r="AQ47" i="20"/>
  <c r="AS47" i="20"/>
  <c r="N6" i="26"/>
  <c r="M6" i="26"/>
  <c r="L6" i="26"/>
  <c r="BC102" i="24"/>
  <c r="BC103" i="24"/>
  <c r="BC104" i="24"/>
  <c r="BC105" i="24"/>
  <c r="BC106" i="24"/>
  <c r="BC107" i="24"/>
  <c r="D6" i="26"/>
  <c r="BI78" i="24" s="1"/>
  <c r="AS91" i="24" s="1"/>
  <c r="AS82" i="24"/>
  <c r="D4" i="26"/>
  <c r="AD73" i="24"/>
  <c r="Y73" i="24"/>
  <c r="X73" i="24"/>
  <c r="T73" i="24"/>
  <c r="M73" i="24"/>
  <c r="G73" i="24"/>
  <c r="G59" i="24"/>
  <c r="AE215" i="24" s="1"/>
  <c r="AV71" i="24"/>
  <c r="AA71" i="24"/>
  <c r="V71" i="24"/>
  <c r="G71" i="24"/>
  <c r="AJ69" i="24"/>
  <c r="G69" i="24"/>
  <c r="AS65" i="24"/>
  <c r="AQ65" i="24"/>
  <c r="AK65" i="24"/>
  <c r="AE221" i="24" s="1"/>
  <c r="AI65" i="24"/>
  <c r="AB65" i="24"/>
  <c r="Q65" i="24"/>
  <c r="G65" i="24"/>
  <c r="AE220" i="24" s="1"/>
  <c r="AS62" i="24"/>
  <c r="AQ62" i="24"/>
  <c r="AK62" i="24"/>
  <c r="AI62" i="24"/>
  <c r="AB62" i="24"/>
  <c r="Q62" i="24"/>
  <c r="G62" i="24"/>
  <c r="AS59" i="24"/>
  <c r="AQ59" i="24"/>
  <c r="AK59" i="24"/>
  <c r="AE216" i="24" s="1"/>
  <c r="Y59" i="24"/>
  <c r="BF77" i="24"/>
  <c r="J60" i="20" s="1"/>
  <c r="BE77" i="24"/>
  <c r="BE78" i="24" s="1"/>
  <c r="B49" i="24"/>
  <c r="AQ155" i="14"/>
  <c r="AQ156" i="14"/>
  <c r="AQ157" i="14"/>
  <c r="AQ158" i="14"/>
  <c r="AQ159" i="14"/>
  <c r="AQ160" i="14"/>
  <c r="AQ161" i="14"/>
  <c r="AQ162" i="14"/>
  <c r="AQ163" i="14"/>
  <c r="AQ164" i="14"/>
  <c r="AQ165" i="14"/>
  <c r="AQ166" i="14"/>
  <c r="AQ167" i="14"/>
  <c r="AQ168" i="14"/>
  <c r="BN2" i="14"/>
  <c r="BO2" i="14"/>
  <c r="BP2" i="14"/>
  <c r="BQ2" i="14"/>
  <c r="BN3" i="14"/>
  <c r="BO3" i="14"/>
  <c r="BP3" i="14"/>
  <c r="BQ3" i="14"/>
  <c r="BN4" i="14"/>
  <c r="BO4" i="14"/>
  <c r="BP4" i="14"/>
  <c r="BQ4" i="14"/>
  <c r="BN5" i="14"/>
  <c r="BO5" i="14"/>
  <c r="BP5" i="14"/>
  <c r="BQ5" i="14"/>
  <c r="BN6" i="14"/>
  <c r="BO6" i="14"/>
  <c r="BP6" i="14"/>
  <c r="BQ6" i="14"/>
  <c r="BN7" i="14"/>
  <c r="BO7" i="14"/>
  <c r="BP7" i="14"/>
  <c r="BQ7" i="14"/>
  <c r="BN8" i="14"/>
  <c r="BO8" i="14"/>
  <c r="BP8" i="14"/>
  <c r="BQ8" i="14"/>
  <c r="BN9" i="14"/>
  <c r="BO9" i="14"/>
  <c r="BP9" i="14"/>
  <c r="BQ9" i="14"/>
  <c r="BN10" i="14"/>
  <c r="BO10" i="14"/>
  <c r="BP10" i="14"/>
  <c r="BQ10" i="14"/>
  <c r="BN11" i="14"/>
  <c r="BO11" i="14"/>
  <c r="BP11" i="14"/>
  <c r="BQ11" i="14"/>
  <c r="BN12" i="14"/>
  <c r="BO12" i="14"/>
  <c r="BP12" i="14"/>
  <c r="BQ12" i="14"/>
  <c r="BN17" i="14"/>
  <c r="BO17" i="14"/>
  <c r="BP17" i="14"/>
  <c r="BQ17" i="14"/>
  <c r="BA5" i="14"/>
  <c r="BA6" i="14"/>
  <c r="C58" i="14"/>
  <c r="C128" i="14" s="1"/>
  <c r="Y41" i="23"/>
  <c r="G41" i="23"/>
  <c r="AF80" i="23" s="1"/>
  <c r="Q44" i="23"/>
  <c r="G44" i="23"/>
  <c r="Q47" i="23"/>
  <c r="G47" i="23"/>
  <c r="AF85" i="23" s="1"/>
  <c r="AQ191" i="14"/>
  <c r="AF191" i="14"/>
  <c r="AF190" i="14"/>
  <c r="BB78" i="14"/>
  <c r="BM17" i="14"/>
  <c r="BM12" i="14"/>
  <c r="BM11" i="14"/>
  <c r="BM10" i="14"/>
  <c r="BM9" i="14"/>
  <c r="BM8" i="14"/>
  <c r="BM7" i="14"/>
  <c r="BM6" i="14"/>
  <c r="BM5" i="14"/>
  <c r="BM4" i="14"/>
  <c r="BM3" i="14"/>
  <c r="BM2" i="14"/>
  <c r="BM1" i="14"/>
  <c r="BL17" i="14"/>
  <c r="BK17" i="14"/>
  <c r="BL12" i="14"/>
  <c r="BK12" i="14"/>
  <c r="BL11" i="14"/>
  <c r="BK11" i="14"/>
  <c r="BL10" i="14"/>
  <c r="BK10" i="14"/>
  <c r="BL9" i="14"/>
  <c r="BK9" i="14"/>
  <c r="BL8" i="14"/>
  <c r="BK8" i="14"/>
  <c r="BL7" i="14"/>
  <c r="BK7" i="14"/>
  <c r="BL6" i="14"/>
  <c r="BK6" i="14"/>
  <c r="BL5" i="14"/>
  <c r="BK5" i="14"/>
  <c r="BL4" i="14"/>
  <c r="BK4" i="14"/>
  <c r="BL3" i="14"/>
  <c r="BK3" i="14"/>
  <c r="BL2" i="14"/>
  <c r="BK2" i="14"/>
  <c r="BL1" i="14"/>
  <c r="BK1" i="14"/>
  <c r="BJ17" i="14"/>
  <c r="BJ12" i="14"/>
  <c r="BJ11" i="14"/>
  <c r="BJ10" i="14"/>
  <c r="BJ9" i="14"/>
  <c r="BJ8" i="14"/>
  <c r="BJ7" i="14"/>
  <c r="BJ6" i="14"/>
  <c r="BJ5" i="14"/>
  <c r="BJ4" i="14"/>
  <c r="BJ3" i="14"/>
  <c r="BJ2" i="14"/>
  <c r="BJ1" i="14"/>
  <c r="BA2" i="14"/>
  <c r="F67" i="14"/>
  <c r="E63" i="14"/>
  <c r="F64" i="14"/>
  <c r="AF186" i="14"/>
  <c r="AF185" i="14"/>
  <c r="G62" i="20"/>
  <c r="G63" i="20"/>
  <c r="G64" i="20" s="1"/>
  <c r="G65" i="20" s="1"/>
  <c r="G66" i="20" s="1"/>
  <c r="G67" i="20" s="1"/>
  <c r="G68" i="20" s="1"/>
  <c r="G69" i="20" s="1"/>
  <c r="G70" i="20" s="1"/>
  <c r="G71" i="20" s="1"/>
  <c r="G72" i="20" s="1"/>
  <c r="G73" i="20" s="1"/>
  <c r="G74" i="20" s="1"/>
  <c r="G75" i="20" s="1"/>
  <c r="G76" i="20" s="1"/>
  <c r="G77" i="20" s="1"/>
  <c r="G78" i="20" s="1"/>
  <c r="G79" i="20" s="1"/>
  <c r="G80" i="20" s="1"/>
  <c r="G81" i="20" s="1"/>
  <c r="G82" i="20" s="1"/>
  <c r="G83" i="20" s="1"/>
  <c r="G84" i="20" s="1"/>
  <c r="G85" i="20" s="1"/>
  <c r="G86" i="20" s="1"/>
  <c r="G87" i="20" s="1"/>
  <c r="G88" i="20" s="1"/>
  <c r="G89" i="20" s="1"/>
  <c r="G90" i="20" s="1"/>
  <c r="G91" i="20" s="1"/>
  <c r="G92" i="20" s="1"/>
  <c r="G93" i="20" s="1"/>
  <c r="G94" i="20" s="1"/>
  <c r="G95" i="20" s="1"/>
  <c r="G96" i="20" s="1"/>
  <c r="AV53" i="23"/>
  <c r="AA53" i="23"/>
  <c r="V53" i="23"/>
  <c r="G53" i="23"/>
  <c r="AJ51" i="23"/>
  <c r="G51" i="23"/>
  <c r="AS47" i="23"/>
  <c r="AQ47" i="23"/>
  <c r="AK47" i="23"/>
  <c r="AF86" i="23" s="1"/>
  <c r="AI47" i="23"/>
  <c r="AB47" i="23"/>
  <c r="AS44" i="23"/>
  <c r="AQ44" i="23"/>
  <c r="AK44" i="23"/>
  <c r="AI44" i="23"/>
  <c r="AB44" i="23"/>
  <c r="AS41" i="23"/>
  <c r="AQ41" i="23"/>
  <c r="AK41" i="23"/>
  <c r="AF81" i="23" s="1"/>
  <c r="D33" i="23"/>
  <c r="C33" i="23"/>
  <c r="B33" i="23"/>
  <c r="B31" i="23"/>
  <c r="A31" i="23"/>
  <c r="BI18" i="23"/>
  <c r="BH18" i="23"/>
  <c r="BG18" i="23"/>
  <c r="BF18" i="23"/>
  <c r="BE18" i="23"/>
  <c r="BD18" i="23"/>
  <c r="BC18" i="23"/>
  <c r="BB18" i="23"/>
  <c r="BA18" i="23"/>
  <c r="BI17" i="23"/>
  <c r="BH17" i="23"/>
  <c r="BG17" i="23"/>
  <c r="BF17" i="23"/>
  <c r="BE17" i="23"/>
  <c r="BD17" i="23"/>
  <c r="BC17" i="23"/>
  <c r="BB17" i="23"/>
  <c r="BA17" i="23"/>
  <c r="BI16" i="23"/>
  <c r="BH16" i="23"/>
  <c r="BG16" i="23"/>
  <c r="BF16" i="23"/>
  <c r="BE16" i="23"/>
  <c r="BD16" i="23"/>
  <c r="BC16" i="23"/>
  <c r="BB16" i="23"/>
  <c r="BA16" i="23"/>
  <c r="BI15" i="23"/>
  <c r="BH15" i="23"/>
  <c r="BG15" i="23"/>
  <c r="BF15" i="23"/>
  <c r="BE15" i="23"/>
  <c r="BD15" i="23"/>
  <c r="BC15" i="23"/>
  <c r="BB15" i="23"/>
  <c r="BA15" i="23"/>
  <c r="BI14" i="23"/>
  <c r="BH14" i="23"/>
  <c r="BG14" i="23"/>
  <c r="BF14" i="23"/>
  <c r="BE14" i="23"/>
  <c r="BD14" i="23"/>
  <c r="BC14" i="23"/>
  <c r="BB14" i="23"/>
  <c r="BA14" i="23"/>
  <c r="BI13" i="23"/>
  <c r="BH13" i="23"/>
  <c r="BG13" i="23"/>
  <c r="BF13" i="23"/>
  <c r="BE13" i="23"/>
  <c r="BD13" i="23"/>
  <c r="BC13" i="23"/>
  <c r="BB13" i="23"/>
  <c r="BA13" i="23"/>
  <c r="BI12" i="23"/>
  <c r="BH12" i="23"/>
  <c r="BG12" i="23"/>
  <c r="BF12" i="23"/>
  <c r="BE12" i="23"/>
  <c r="BD12" i="23"/>
  <c r="BC12" i="23"/>
  <c r="BB12" i="23"/>
  <c r="BA12" i="23"/>
  <c r="BI11" i="23"/>
  <c r="BH11" i="23"/>
  <c r="BG11" i="23"/>
  <c r="BF11" i="23"/>
  <c r="BE11" i="23"/>
  <c r="BD11" i="23"/>
  <c r="BC11" i="23"/>
  <c r="BB11" i="23"/>
  <c r="BA11" i="23"/>
  <c r="BI10" i="23"/>
  <c r="BH10" i="23"/>
  <c r="BG10" i="23"/>
  <c r="BF10" i="23"/>
  <c r="BE10" i="23"/>
  <c r="BD10" i="23"/>
  <c r="BC10" i="23"/>
  <c r="BB10" i="23"/>
  <c r="BA10" i="23"/>
  <c r="BI9" i="23"/>
  <c r="BH9" i="23"/>
  <c r="BG9" i="23"/>
  <c r="BF9" i="23"/>
  <c r="BE9" i="23"/>
  <c r="BD9" i="23"/>
  <c r="BC9" i="23"/>
  <c r="BB9" i="23"/>
  <c r="BA9" i="23"/>
  <c r="BI8" i="23"/>
  <c r="BH8" i="23"/>
  <c r="BG8" i="23"/>
  <c r="BF8" i="23"/>
  <c r="BE8" i="23"/>
  <c r="BD8" i="23"/>
  <c r="BC8" i="23"/>
  <c r="BB8" i="23"/>
  <c r="BA8" i="23"/>
  <c r="BI7" i="23"/>
  <c r="BH7" i="23"/>
  <c r="BG7" i="23"/>
  <c r="BF7" i="23"/>
  <c r="BE7" i="23"/>
  <c r="BD7" i="23"/>
  <c r="BC7" i="23"/>
  <c r="BB7" i="23"/>
  <c r="BA7" i="23"/>
  <c r="BI6" i="23"/>
  <c r="BH6" i="23"/>
  <c r="BG6" i="23"/>
  <c r="BF6" i="23"/>
  <c r="BE6" i="23"/>
  <c r="BD6" i="23"/>
  <c r="BC6" i="23"/>
  <c r="BB6" i="23"/>
  <c r="BA6" i="23"/>
  <c r="BI5" i="23"/>
  <c r="BH5" i="23"/>
  <c r="BG5" i="23"/>
  <c r="BF5" i="23"/>
  <c r="BE5" i="23"/>
  <c r="BD5" i="23"/>
  <c r="BC5" i="23"/>
  <c r="BB5" i="23"/>
  <c r="BA5" i="23"/>
  <c r="BI4" i="23"/>
  <c r="BH4" i="23"/>
  <c r="BG4" i="23"/>
  <c r="BF4" i="23"/>
  <c r="BE4" i="23"/>
  <c r="BD4" i="23"/>
  <c r="BC4" i="23"/>
  <c r="BB4" i="23"/>
  <c r="BA4" i="23"/>
  <c r="BI3" i="23"/>
  <c r="BH3" i="23"/>
  <c r="BG3" i="23"/>
  <c r="BF3" i="23"/>
  <c r="BE3" i="23"/>
  <c r="BD3" i="23"/>
  <c r="BC3" i="23"/>
  <c r="BB3" i="23"/>
  <c r="BA3" i="23"/>
  <c r="BI2" i="23"/>
  <c r="BH2" i="23"/>
  <c r="BG2" i="23"/>
  <c r="BF2" i="23"/>
  <c r="BE2" i="23"/>
  <c r="BD2" i="23"/>
  <c r="BC2" i="23"/>
  <c r="BB2" i="23"/>
  <c r="BA2" i="23"/>
  <c r="BI1" i="23"/>
  <c r="BH1" i="23"/>
  <c r="BG1" i="23"/>
  <c r="BF1" i="23"/>
  <c r="BE1" i="23"/>
  <c r="BD1" i="23"/>
  <c r="BC1" i="23"/>
  <c r="BB1" i="23"/>
  <c r="BA1" i="23"/>
  <c r="F63" i="14"/>
  <c r="F66" i="14"/>
  <c r="E66" i="14"/>
  <c r="E65" i="14"/>
  <c r="E64" i="14"/>
  <c r="AV53" i="20"/>
  <c r="AA53" i="20"/>
  <c r="V53" i="20"/>
  <c r="G53" i="20"/>
  <c r="AJ51" i="20"/>
  <c r="G51" i="20"/>
  <c r="D33" i="20"/>
  <c r="C33" i="20"/>
  <c r="B33" i="20"/>
  <c r="B31" i="20"/>
  <c r="A31" i="20"/>
  <c r="BI18" i="20"/>
  <c r="BH18" i="20"/>
  <c r="BG18" i="20"/>
  <c r="BF18" i="20"/>
  <c r="BE18" i="20"/>
  <c r="BD18" i="20"/>
  <c r="BC18" i="20"/>
  <c r="BB18" i="20"/>
  <c r="BA18" i="20"/>
  <c r="BI17" i="20"/>
  <c r="BH17" i="20"/>
  <c r="BG17" i="20"/>
  <c r="BF17" i="20"/>
  <c r="BE17" i="20"/>
  <c r="BD17" i="20"/>
  <c r="BC17" i="20"/>
  <c r="BB17" i="20"/>
  <c r="BA17" i="20"/>
  <c r="BI12" i="20"/>
  <c r="BH12" i="20"/>
  <c r="BG12" i="20"/>
  <c r="BF12" i="20"/>
  <c r="BE12" i="20"/>
  <c r="BD12" i="20"/>
  <c r="BC12" i="20"/>
  <c r="BB12" i="20"/>
  <c r="BA12" i="20"/>
  <c r="BI11" i="20"/>
  <c r="BH11" i="20"/>
  <c r="BG11" i="20"/>
  <c r="BF11" i="20"/>
  <c r="BE11" i="20"/>
  <c r="BD11" i="20"/>
  <c r="BC11" i="20"/>
  <c r="BB11" i="20"/>
  <c r="BA11" i="20"/>
  <c r="BI10" i="20"/>
  <c r="BH10" i="20"/>
  <c r="BG10" i="20"/>
  <c r="BF10" i="20"/>
  <c r="BE10" i="20"/>
  <c r="BD10" i="20"/>
  <c r="BC10" i="20"/>
  <c r="BB10" i="20"/>
  <c r="BA10" i="20"/>
  <c r="BI9" i="20"/>
  <c r="BH9" i="20"/>
  <c r="BG9" i="20"/>
  <c r="BF9" i="20"/>
  <c r="BE9" i="20"/>
  <c r="BD9" i="20"/>
  <c r="BC9" i="20"/>
  <c r="BB9" i="20"/>
  <c r="BA9" i="20"/>
  <c r="BI8" i="20"/>
  <c r="BH8" i="20"/>
  <c r="BG8" i="20"/>
  <c r="BF8" i="20"/>
  <c r="BE8" i="20"/>
  <c r="BD8" i="20"/>
  <c r="BC8" i="20"/>
  <c r="BB8" i="20"/>
  <c r="BA8" i="20"/>
  <c r="BI7" i="20"/>
  <c r="BH7" i="20"/>
  <c r="BG7" i="20"/>
  <c r="BF7" i="20"/>
  <c r="BE7" i="20"/>
  <c r="BD7" i="20"/>
  <c r="BC7" i="20"/>
  <c r="BB7" i="20"/>
  <c r="BA7" i="20"/>
  <c r="BI6" i="20"/>
  <c r="BH6" i="20"/>
  <c r="BG6" i="20"/>
  <c r="BF6" i="20"/>
  <c r="BE6" i="20"/>
  <c r="BD6" i="20"/>
  <c r="BC6" i="20"/>
  <c r="BB6" i="20"/>
  <c r="BA6" i="20"/>
  <c r="BI5" i="20"/>
  <c r="BH5" i="20"/>
  <c r="BG5" i="20"/>
  <c r="BF5" i="20"/>
  <c r="BE5" i="20"/>
  <c r="BD5" i="20"/>
  <c r="BC5" i="20"/>
  <c r="BB5" i="20"/>
  <c r="BA5" i="20"/>
  <c r="BI4" i="20"/>
  <c r="BH4" i="20"/>
  <c r="BG4" i="20"/>
  <c r="BF4" i="20"/>
  <c r="BE4" i="20"/>
  <c r="BD4" i="20"/>
  <c r="BC4" i="20"/>
  <c r="BB4" i="20"/>
  <c r="BA4" i="20"/>
  <c r="BI3" i="20"/>
  <c r="BH3" i="20"/>
  <c r="BG3" i="20"/>
  <c r="BF3" i="20"/>
  <c r="BE3" i="20"/>
  <c r="BD3" i="20"/>
  <c r="BC3" i="20"/>
  <c r="BB3" i="20"/>
  <c r="BA3" i="20"/>
  <c r="BI2" i="20"/>
  <c r="BH2" i="20"/>
  <c r="BG2" i="20"/>
  <c r="BF2" i="20"/>
  <c r="BE2" i="20"/>
  <c r="BD2" i="20"/>
  <c r="BC2" i="20"/>
  <c r="BB2" i="20"/>
  <c r="BA2" i="20"/>
  <c r="BI1" i="20"/>
  <c r="BH1" i="20"/>
  <c r="BG1" i="20"/>
  <c r="BF1" i="20"/>
  <c r="BE1" i="20"/>
  <c r="BD1" i="20"/>
  <c r="BC1" i="20"/>
  <c r="BB1" i="20"/>
  <c r="BA1" i="20"/>
  <c r="BB36" i="14"/>
  <c r="BA36" i="14"/>
  <c r="BA1" i="14"/>
  <c r="BB1" i="14"/>
  <c r="BC1" i="14"/>
  <c r="BD1" i="14"/>
  <c r="BE1" i="14"/>
  <c r="BF1" i="14"/>
  <c r="BG1" i="14"/>
  <c r="BH1" i="14"/>
  <c r="BI1" i="14"/>
  <c r="BB2" i="14"/>
  <c r="BC2" i="14"/>
  <c r="BD2" i="14"/>
  <c r="BE2" i="14"/>
  <c r="BF2" i="14"/>
  <c r="BG2" i="14"/>
  <c r="BH2" i="14"/>
  <c r="BI2" i="14"/>
  <c r="BA3" i="14"/>
  <c r="BB3" i="14"/>
  <c r="BC3" i="14"/>
  <c r="BD3" i="14"/>
  <c r="BE3" i="14"/>
  <c r="BF3" i="14"/>
  <c r="BG3" i="14"/>
  <c r="BH3" i="14"/>
  <c r="BI3" i="14"/>
  <c r="BA4" i="14"/>
  <c r="BB4" i="14"/>
  <c r="BC4" i="14"/>
  <c r="BD4" i="14"/>
  <c r="BE4" i="14"/>
  <c r="BF4" i="14"/>
  <c r="BG4" i="14"/>
  <c r="BH4" i="14"/>
  <c r="BI4" i="14"/>
  <c r="BB5" i="14"/>
  <c r="BC5" i="14"/>
  <c r="BD5" i="14"/>
  <c r="BE5" i="14"/>
  <c r="BF5" i="14"/>
  <c r="BG5" i="14"/>
  <c r="BH5" i="14"/>
  <c r="BI5" i="14"/>
  <c r="BB6" i="14"/>
  <c r="BD6" i="14"/>
  <c r="BE6" i="14"/>
  <c r="BF6" i="14"/>
  <c r="BG6" i="14"/>
  <c r="BH6" i="14"/>
  <c r="BI6" i="14"/>
  <c r="BA7" i="14"/>
  <c r="BB7" i="14"/>
  <c r="BD7" i="14"/>
  <c r="BE7" i="14"/>
  <c r="BF7" i="14"/>
  <c r="BG7" i="14"/>
  <c r="BH7" i="14"/>
  <c r="BI7" i="14"/>
  <c r="BA8" i="14"/>
  <c r="BB8" i="14"/>
  <c r="BC8" i="14"/>
  <c r="BD8" i="14"/>
  <c r="BE8" i="14"/>
  <c r="BF8" i="14"/>
  <c r="BG8" i="14"/>
  <c r="BH8" i="14"/>
  <c r="BI8" i="14"/>
  <c r="BA9" i="14"/>
  <c r="BB9" i="14"/>
  <c r="BC9" i="14"/>
  <c r="BD9" i="14"/>
  <c r="BE9" i="14"/>
  <c r="BF9" i="14"/>
  <c r="BG9" i="14"/>
  <c r="BH9" i="14"/>
  <c r="BI9" i="14"/>
  <c r="BA10" i="14"/>
  <c r="BB10" i="14"/>
  <c r="BC10" i="14"/>
  <c r="BD10" i="14"/>
  <c r="BE10" i="14"/>
  <c r="BF10" i="14"/>
  <c r="BG10" i="14"/>
  <c r="BH10" i="14"/>
  <c r="BI10" i="14"/>
  <c r="BA11" i="14"/>
  <c r="BB11" i="14"/>
  <c r="BC11" i="14"/>
  <c r="BD11" i="14"/>
  <c r="BE11" i="14"/>
  <c r="BF11" i="14"/>
  <c r="BG11" i="14"/>
  <c r="BH11" i="14"/>
  <c r="BI11" i="14"/>
  <c r="BA12" i="14"/>
  <c r="BB12" i="14"/>
  <c r="BC12" i="14"/>
  <c r="BD12" i="14"/>
  <c r="BE12" i="14"/>
  <c r="BF12" i="14"/>
  <c r="BG12" i="14"/>
  <c r="BH12" i="14"/>
  <c r="BI12" i="14"/>
  <c r="BA17" i="14"/>
  <c r="BB17" i="14"/>
  <c r="BC17" i="14"/>
  <c r="BD17" i="14"/>
  <c r="BE17" i="14"/>
  <c r="BF17" i="14"/>
  <c r="BG17" i="14"/>
  <c r="BH17" i="14"/>
  <c r="BI17" i="14"/>
  <c r="B34" i="14"/>
  <c r="D36" i="14"/>
  <c r="F65" i="14"/>
  <c r="C36" i="14"/>
  <c r="G100" i="14"/>
  <c r="G101" i="14" s="1"/>
  <c r="G102" i="14" s="1"/>
  <c r="G103" i="14" s="1"/>
  <c r="G104" i="14" s="1"/>
  <c r="G105" i="14" s="1"/>
  <c r="G106" i="14" s="1"/>
  <c r="G107" i="14" s="1"/>
  <c r="G108" i="14" s="1"/>
  <c r="G109" i="14" s="1"/>
  <c r="G110" i="14" s="1"/>
  <c r="G111" i="14" s="1"/>
  <c r="G112" i="14" s="1"/>
  <c r="G113" i="14" s="1"/>
  <c r="G114" i="14" s="1"/>
  <c r="G115" i="14" s="1"/>
  <c r="G116" i="14" s="1"/>
  <c r="G117" i="14" s="1"/>
  <c r="G118" i="14" s="1"/>
  <c r="G129" i="14"/>
  <c r="G130" i="14" s="1"/>
  <c r="G131" i="14" s="1"/>
  <c r="G132" i="14" s="1"/>
  <c r="G133" i="14" s="1"/>
  <c r="G134" i="14" s="1"/>
  <c r="G135" i="14" s="1"/>
  <c r="G136" i="14" s="1"/>
  <c r="G137" i="14" s="1"/>
  <c r="Z138" i="14"/>
  <c r="AB118" i="14" s="1"/>
  <c r="AO144" i="14"/>
  <c r="AQ144" i="14" s="1"/>
  <c r="AQ146" i="14"/>
  <c r="AQ147" i="14"/>
  <c r="AQ148" i="14"/>
  <c r="AQ149" i="14"/>
  <c r="AQ150" i="14"/>
  <c r="AQ151" i="14"/>
  <c r="AQ152" i="14"/>
  <c r="AQ153" i="14"/>
  <c r="AQ154" i="14"/>
  <c r="BF78" i="24" l="1"/>
  <c r="J61" i="20" s="1"/>
  <c r="BE79" i="24"/>
  <c r="C70" i="14"/>
  <c r="B36" i="14" s="1"/>
  <c r="A34" i="14"/>
  <c r="AP221" i="24"/>
  <c r="AB119" i="14"/>
  <c r="AT130" i="14"/>
  <c r="AT129" i="14"/>
  <c r="H6" i="26"/>
  <c r="H5" i="26"/>
  <c r="D5" i="26"/>
  <c r="E5" i="26" s="1"/>
  <c r="E3" i="26" s="1"/>
  <c r="BC71" i="14"/>
  <c r="AO145" i="14"/>
  <c r="AQ145" i="14" s="1"/>
  <c r="BC77" i="24"/>
  <c r="BE80" i="24"/>
  <c r="BF79" i="24"/>
  <c r="J62" i="20" s="1"/>
  <c r="AQ169" i="20"/>
  <c r="AQ86" i="23"/>
  <c r="D7" i="26" l="1"/>
  <c r="X99" i="14"/>
  <c r="X109" i="14"/>
  <c r="X112" i="14"/>
  <c r="X115" i="14"/>
  <c r="X102" i="14"/>
  <c r="X111" i="14"/>
  <c r="S96" i="24" s="1"/>
  <c r="Y96" i="24" s="1"/>
  <c r="X118" i="14"/>
  <c r="X103" i="14"/>
  <c r="AX103" i="14" s="1"/>
  <c r="AB120" i="14"/>
  <c r="AB121" i="14" s="1"/>
  <c r="AP130" i="14" s="1"/>
  <c r="AP131" i="14" s="1"/>
  <c r="X117" i="14"/>
  <c r="S102" i="24" s="1"/>
  <c r="Y102" i="24" s="1"/>
  <c r="X116" i="14"/>
  <c r="AX116" i="14" s="1"/>
  <c r="X100" i="14"/>
  <c r="X101" i="14"/>
  <c r="X114" i="14"/>
  <c r="AX114" i="14" s="1"/>
  <c r="X113" i="14"/>
  <c r="X105" i="14"/>
  <c r="AX105" i="14" s="1"/>
  <c r="AP129" i="14"/>
  <c r="X107" i="14"/>
  <c r="S92" i="24" s="1"/>
  <c r="Y92" i="24" s="1"/>
  <c r="X106" i="14"/>
  <c r="X108" i="14"/>
  <c r="AX108" i="14" s="1"/>
  <c r="X104" i="14"/>
  <c r="X110" i="14"/>
  <c r="S95" i="24" s="1"/>
  <c r="Y95" i="24" s="1"/>
  <c r="C9" i="26"/>
  <c r="BF80" i="24"/>
  <c r="J63" i="20" s="1"/>
  <c r="BE81" i="24"/>
  <c r="S85" i="24"/>
  <c r="Y85" i="24" s="1"/>
  <c r="AX102" i="14"/>
  <c r="S87" i="24"/>
  <c r="Y87" i="24" s="1"/>
  <c r="AX101" i="14"/>
  <c r="S86" i="24"/>
  <c r="Y86" i="24" s="1"/>
  <c r="AX111" i="14"/>
  <c r="BC78" i="24"/>
  <c r="AO146" i="14"/>
  <c r="AX117" i="14"/>
  <c r="S89" i="24"/>
  <c r="Y89" i="24" s="1"/>
  <c r="AX104" i="14"/>
  <c r="AX107" i="14" l="1"/>
  <c r="S101" i="24"/>
  <c r="Y101" i="24" s="1"/>
  <c r="S99" i="24"/>
  <c r="Y99" i="24" s="1"/>
  <c r="S90" i="24"/>
  <c r="Y90" i="24" s="1"/>
  <c r="S88" i="24"/>
  <c r="Y88" i="24" s="1"/>
  <c r="S93" i="24"/>
  <c r="Y93" i="24" s="1"/>
  <c r="AX113" i="14"/>
  <c r="S98" i="24"/>
  <c r="Y98" i="24" s="1"/>
  <c r="S94" i="24"/>
  <c r="Y94" i="24" s="1"/>
  <c r="AX109" i="14"/>
  <c r="AX115" i="14"/>
  <c r="S100" i="24"/>
  <c r="Y100" i="24" s="1"/>
  <c r="AX100" i="14"/>
  <c r="S91" i="24"/>
  <c r="Y91" i="24" s="1"/>
  <c r="AX106" i="14"/>
  <c r="S103" i="24"/>
  <c r="Y103" i="24" s="1"/>
  <c r="AX118" i="14"/>
  <c r="S97" i="24"/>
  <c r="Y97" i="24" s="1"/>
  <c r="AX112" i="14"/>
  <c r="AX110" i="14"/>
  <c r="AI99" i="14"/>
  <c r="AI100" i="14" s="1"/>
  <c r="AI101" i="14" s="1"/>
  <c r="AI102" i="14" s="1"/>
  <c r="AI103" i="14" s="1"/>
  <c r="AI104" i="14" s="1"/>
  <c r="AI105" i="14" s="1"/>
  <c r="AI106" i="14" s="1"/>
  <c r="AI107" i="14" s="1"/>
  <c r="AI108" i="14" s="1"/>
  <c r="AI109" i="14" s="1"/>
  <c r="AI111" i="14" s="1"/>
  <c r="AI110" i="14" s="1"/>
  <c r="AI112" i="14" s="1"/>
  <c r="AI113" i="14" s="1"/>
  <c r="AI114" i="14" s="1"/>
  <c r="AI115" i="14" s="1"/>
  <c r="AI116" i="14" s="1"/>
  <c r="AI117" i="14" s="1"/>
  <c r="AI118" i="14" s="1"/>
  <c r="AX99" i="14"/>
  <c r="S84" i="24"/>
  <c r="AO147" i="14"/>
  <c r="BC79" i="24"/>
  <c r="BE82" i="24"/>
  <c r="BF81" i="24"/>
  <c r="J64" i="20" s="1"/>
  <c r="S104" i="24" l="1"/>
  <c r="Y84" i="24"/>
  <c r="Y104" i="24" s="1"/>
  <c r="BF82" i="24"/>
  <c r="J65" i="20" s="1"/>
  <c r="BE83" i="24"/>
  <c r="AO148" i="14"/>
  <c r="BC80" i="24"/>
  <c r="D14" i="26" l="1"/>
  <c r="BI75" i="24"/>
  <c r="BJ75" i="24" s="1"/>
  <c r="D3" i="26"/>
  <c r="Y107" i="24"/>
  <c r="AO149" i="14"/>
  <c r="BC81" i="24"/>
  <c r="BF83" i="24"/>
  <c r="J66" i="20" s="1"/>
  <c r="BE84" i="24"/>
  <c r="F3" i="26" l="1"/>
  <c r="D17" i="26"/>
  <c r="BI77" i="24"/>
  <c r="D15" i="26"/>
  <c r="C15" i="26"/>
  <c r="C16" i="26"/>
  <c r="BF84" i="24"/>
  <c r="J67" i="20" s="1"/>
  <c r="BE85" i="24"/>
  <c r="AO150" i="14"/>
  <c r="BC82" i="24"/>
  <c r="D9" i="26" s="1"/>
  <c r="BI79" i="24" s="1"/>
  <c r="D16" i="26" l="1"/>
  <c r="D12" i="26"/>
  <c r="D11" i="26"/>
  <c r="BI80" i="24" s="1"/>
  <c r="AQ92" i="24" s="1"/>
  <c r="AC104" i="24" s="1"/>
  <c r="D10" i="26"/>
  <c r="BC83" i="24"/>
  <c r="AO151" i="14"/>
  <c r="BF85" i="24"/>
  <c r="J68" i="20" s="1"/>
  <c r="BE86" i="24"/>
  <c r="BE87" i="24" l="1"/>
  <c r="BF86" i="24"/>
  <c r="J69" i="20" s="1"/>
  <c r="AO152" i="14"/>
  <c r="BC84" i="24"/>
  <c r="AO153" i="14" l="1"/>
  <c r="BC85" i="24"/>
  <c r="BF87" i="24"/>
  <c r="J70" i="20" s="1"/>
  <c r="BE88" i="24"/>
  <c r="BF88" i="24" l="1"/>
  <c r="J71" i="20" s="1"/>
  <c r="BE89" i="24"/>
  <c r="BC86" i="24"/>
  <c r="AO154" i="14"/>
  <c r="AO155" i="14" l="1"/>
  <c r="BC87" i="24"/>
  <c r="BF89" i="24"/>
  <c r="J72" i="20" s="1"/>
  <c r="BE90" i="24"/>
  <c r="BF90" i="24" l="1"/>
  <c r="J73" i="20" s="1"/>
  <c r="BE91" i="24"/>
  <c r="BC88" i="24"/>
  <c r="AO156" i="14"/>
  <c r="BE92" i="24" l="1"/>
  <c r="BF91" i="24"/>
  <c r="J74" i="20" s="1"/>
  <c r="BC89" i="24"/>
  <c r="AO157" i="14"/>
  <c r="BC90" i="24" l="1"/>
  <c r="AO158" i="14"/>
  <c r="BF92" i="24"/>
  <c r="J75" i="20" s="1"/>
  <c r="BE93" i="24"/>
  <c r="BC91" i="24" l="1"/>
  <c r="AO159" i="14"/>
  <c r="BF93" i="24"/>
  <c r="J76" i="20" s="1"/>
  <c r="BE94" i="24"/>
  <c r="BE95" i="24" l="1"/>
  <c r="BF94" i="24"/>
  <c r="J77" i="20" s="1"/>
  <c r="BC92" i="24"/>
  <c r="AO160" i="14"/>
  <c r="AO161" i="14" l="1"/>
  <c r="BC93" i="24"/>
  <c r="BF95" i="24"/>
  <c r="J78" i="20" s="1"/>
  <c r="BE96" i="24"/>
  <c r="BE97" i="24" l="1"/>
  <c r="BF96" i="24"/>
  <c r="J79" i="20" s="1"/>
  <c r="BC94" i="24"/>
  <c r="AO162" i="14"/>
  <c r="BC95" i="24" l="1"/>
  <c r="AO163" i="14"/>
  <c r="BF97" i="24"/>
  <c r="J80" i="20" s="1"/>
  <c r="AX80" i="20" s="1"/>
  <c r="BE98" i="24"/>
  <c r="BC96" i="24" l="1"/>
  <c r="AO164" i="14"/>
  <c r="BF98" i="24"/>
  <c r="J81" i="20" s="1"/>
  <c r="BE99" i="24"/>
  <c r="BF99" i="24" l="1"/>
  <c r="J82" i="20" s="1"/>
  <c r="BE100" i="24"/>
  <c r="AO165" i="14"/>
  <c r="BC97" i="24"/>
  <c r="BC98" i="24" l="1"/>
  <c r="AO166" i="14"/>
  <c r="BE101" i="24"/>
  <c r="BF100" i="24"/>
  <c r="J83" i="20" s="1"/>
  <c r="BE102" i="24" l="1"/>
  <c r="BF101" i="24"/>
  <c r="J84" i="20" s="1"/>
  <c r="AX84" i="20" s="1"/>
  <c r="AO167" i="14"/>
  <c r="BC99" i="24"/>
  <c r="AO168" i="14" l="1"/>
  <c r="BC100" i="24"/>
  <c r="BF102" i="24"/>
  <c r="J85" i="20" s="1"/>
  <c r="BE103" i="24"/>
  <c r="BE104" i="24" l="1"/>
  <c r="BF103" i="24"/>
  <c r="J86" i="20" s="1"/>
  <c r="BC101" i="24"/>
  <c r="AS141" i="14"/>
  <c r="BF104" i="24" l="1"/>
  <c r="J87" i="20" s="1"/>
  <c r="BE105" i="24"/>
  <c r="BE106" i="24" l="1"/>
  <c r="BF105" i="24"/>
  <c r="J88" i="20" s="1"/>
  <c r="BF106" i="24" l="1"/>
  <c r="J89" i="20" s="1"/>
  <c r="BE107" i="24"/>
  <c r="BF107" i="24" l="1"/>
  <c r="J90" i="20" s="1"/>
  <c r="BE108" i="24"/>
  <c r="BF108" i="24" l="1"/>
  <c r="J91" i="20" s="1"/>
  <c r="BE109" i="24"/>
  <c r="BF109" i="24" l="1"/>
  <c r="J92" i="20" s="1"/>
  <c r="BE110" i="24"/>
  <c r="BE111" i="24" l="1"/>
  <c r="BF110" i="24"/>
  <c r="J93" i="20" s="1"/>
  <c r="BF111" i="24" l="1"/>
  <c r="J94" i="20" s="1"/>
  <c r="BE112" i="24"/>
  <c r="BE113" i="24" l="1"/>
  <c r="BF113" i="24" s="1"/>
  <c r="J96" i="20" s="1"/>
  <c r="BF112" i="24"/>
  <c r="J95" i="2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Paulo Henrique Frediani de Moura</author>
    <author>Caixa</author>
  </authors>
  <commentList>
    <comment ref="T57" authorId="0" shapeId="0" xr:uid="{00000000-0006-0000-0000-000001000000}">
      <text>
        <r>
          <rPr>
            <b/>
            <sz val="9"/>
            <color indexed="81"/>
            <rFont val="Segoe UI"/>
            <family val="2"/>
          </rPr>
          <t>CAIXA:</t>
        </r>
        <r>
          <rPr>
            <sz val="9"/>
            <color indexed="81"/>
            <rFont val="Segoe UI"/>
            <family val="2"/>
          </rPr>
          <t xml:space="preserve">
Basta inserir os números, sem separação.
P.ex., as coordenadas de Brasília são: 
15°47′38″S  47°52′58″W. Assim, deve-se inserir 154738 no primeiro campo e
475258 no segundo campo, escolhendo a opção "S", de SUL, no campo intermediário, de seleção.</t>
        </r>
      </text>
    </comment>
    <comment ref="G71" authorId="1" shapeId="0" xr:uid="{00000000-0006-0000-0000-000002000000}">
      <text>
        <r>
          <rPr>
            <b/>
            <sz val="9"/>
            <color indexed="81"/>
            <rFont val="Segoe UI"/>
            <family val="2"/>
          </rPr>
          <t>Caixa:</t>
        </r>
        <r>
          <rPr>
            <sz val="9"/>
            <color indexed="81"/>
            <rFont val="Segoe UI"/>
            <family val="2"/>
          </rPr>
          <t xml:space="preserve">
Área da edificação principal, delimitada pelo perímetro da alvenaria de fachada. Não considerar área de garagem e projeção de beirais.</t>
        </r>
      </text>
    </comment>
    <comment ref="N71" authorId="1" shapeId="0" xr:uid="{00000000-0006-0000-0000-000003000000}">
      <text>
        <r>
          <rPr>
            <b/>
            <sz val="9"/>
            <color indexed="81"/>
            <rFont val="Segoe UI"/>
            <family val="2"/>
          </rPr>
          <t>Caixa:</t>
        </r>
        <r>
          <rPr>
            <sz val="9"/>
            <color indexed="81"/>
            <rFont val="Segoe UI"/>
            <family val="2"/>
          </rPr>
          <t xml:space="preserve">
Área de terreno não impermeabilizada e sem construção.</t>
        </r>
      </text>
    </comment>
    <comment ref="U71" authorId="1" shapeId="0" xr:uid="{00000000-0006-0000-0000-000004000000}">
      <text>
        <r>
          <rPr>
            <b/>
            <sz val="9"/>
            <color indexed="81"/>
            <rFont val="Segoe UI"/>
            <family val="2"/>
          </rPr>
          <t>Caixa:</t>
        </r>
        <r>
          <rPr>
            <sz val="9"/>
            <color indexed="81"/>
            <rFont val="Segoe UI"/>
            <family val="2"/>
          </rPr>
          <t xml:space="preserve">
Somatório das Áreas Edificadas Cobertas não contabilizadas na  àrea coberta padrão. </t>
        </r>
      </text>
    </comment>
    <comment ref="AC71" authorId="1" shapeId="0" xr:uid="{00000000-0006-0000-0000-000005000000}">
      <text>
        <r>
          <rPr>
            <b/>
            <sz val="9"/>
            <color indexed="81"/>
            <rFont val="Segoe UI"/>
            <family val="2"/>
          </rPr>
          <t>Caixa:</t>
        </r>
        <r>
          <rPr>
            <sz val="9"/>
            <color indexed="81"/>
            <rFont val="Segoe UI"/>
            <family val="2"/>
          </rPr>
          <t xml:space="preserve">
Somatório da Área Coberta Padrão com a Área Acessória Coberta</t>
        </r>
      </text>
    </comment>
    <comment ref="AH84" authorId="1" shapeId="0" xr:uid="{00000000-0006-0000-0000-000006000000}">
      <text>
        <r>
          <rPr>
            <b/>
            <sz val="9"/>
            <color indexed="81"/>
            <rFont val="Segoe UI"/>
            <family val="2"/>
          </rPr>
          <t>Caixa:</t>
        </r>
        <r>
          <rPr>
            <sz val="9"/>
            <color indexed="81"/>
            <rFont val="Segoe UI"/>
            <family val="2"/>
          </rPr>
          <t xml:space="preserve">
Se respondeu "Sim", detalhar no campo "Outros(Especificar)"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Paulo Henrique Frediani de Moura</author>
    <author>Caixa</author>
  </authors>
  <commentList>
    <comment ref="T72" authorId="0" shapeId="0" xr:uid="{00000000-0006-0000-0200-000001000000}">
      <text>
        <r>
          <rPr>
            <b/>
            <sz val="9"/>
            <color indexed="81"/>
            <rFont val="Segoe UI"/>
            <family val="2"/>
          </rPr>
          <t>CAIXA:</t>
        </r>
        <r>
          <rPr>
            <sz val="9"/>
            <color indexed="81"/>
            <rFont val="Segoe UI"/>
            <family val="2"/>
          </rPr>
          <t xml:space="preserve">
Basta inserir os números, sem separação.
P.ex., as coordenadas de Brasília são: 
15°47′38″S  47°52′58″W. Assim, deve-se inserir 154738 no primeiro campo e
475258 no segundo campo, escolhendo a opção "S", de SUL, no campo intermediário, de seleção.</t>
        </r>
      </text>
    </comment>
    <comment ref="BC75" authorId="1" shapeId="0" xr:uid="{00000000-0006-0000-0200-000002000000}">
      <text>
        <r>
          <rPr>
            <b/>
            <sz val="9"/>
            <color indexed="81"/>
            <rFont val="Segoe UI"/>
            <family val="2"/>
          </rPr>
          <t>Caixa:</t>
        </r>
        <r>
          <rPr>
            <sz val="9"/>
            <color indexed="81"/>
            <rFont val="Segoe UI"/>
            <family val="2"/>
          </rPr>
          <t xml:space="preserve">
Preencher conforme constante na proposta</t>
        </r>
      </text>
    </comment>
    <comment ref="BD75" authorId="1" shapeId="0" xr:uid="{00000000-0006-0000-0200-000003000000}">
      <text>
        <r>
          <rPr>
            <b/>
            <sz val="9"/>
            <color indexed="81"/>
            <rFont val="Segoe UI"/>
            <family val="2"/>
          </rPr>
          <t>Caixa:</t>
        </r>
        <r>
          <rPr>
            <sz val="9"/>
            <color indexed="81"/>
            <rFont val="Segoe UI"/>
            <family val="2"/>
          </rPr>
          <t xml:space="preserve">
Preencher conforme evolução de obra. Caso necessário consulte os percentuais liberados em etapas anteriores no APP Habitação</t>
        </r>
      </text>
    </comment>
    <comment ref="AH79" authorId="1" shapeId="0" xr:uid="{00000000-0006-0000-0200-000004000000}">
      <text>
        <r>
          <rPr>
            <b/>
            <sz val="9"/>
            <color indexed="81"/>
            <rFont val="Segoe UI"/>
            <family val="2"/>
          </rPr>
          <t>Caixa:</t>
        </r>
        <r>
          <rPr>
            <sz val="9"/>
            <color indexed="81"/>
            <rFont val="Segoe UI"/>
            <family val="2"/>
          </rPr>
          <t xml:space="preserve">
Informar a data de assinatura do contrato</t>
        </r>
      </text>
    </comment>
    <comment ref="AS79" authorId="1" shapeId="0" xr:uid="{00000000-0006-0000-0200-000005000000}">
      <text>
        <r>
          <rPr>
            <b/>
            <sz val="9"/>
            <color indexed="81"/>
            <rFont val="Segoe UI"/>
            <family val="2"/>
          </rPr>
          <t>Caixa:</t>
        </r>
        <r>
          <rPr>
            <sz val="9"/>
            <color indexed="81"/>
            <rFont val="Segoe UI"/>
            <family val="2"/>
          </rPr>
          <t xml:space="preserve">
Informar o prazo previsto para conclusão da obra conforme proposta ou cronograma vigente, se houve reprogramação</t>
        </r>
      </text>
    </comment>
    <comment ref="AK81" authorId="1" shapeId="0" xr:uid="{00000000-0006-0000-0200-000006000000}">
      <text>
        <r>
          <rPr>
            <b/>
            <sz val="9"/>
            <color indexed="81"/>
            <rFont val="Segoe UI"/>
            <family val="2"/>
          </rPr>
          <t>Caixa:</t>
        </r>
        <r>
          <rPr>
            <sz val="9"/>
            <color indexed="81"/>
            <rFont val="Segoe UI"/>
            <family val="2"/>
          </rPr>
          <t xml:space="preserve">
Informar a data de realização de vistoria realizada pelo RT de execução da obra para elaboração da PLS</t>
        </r>
      </text>
    </comment>
    <comment ref="AS82" authorId="1" shapeId="0" xr:uid="{00000000-0006-0000-0200-000007000000}">
      <text>
        <r>
          <rPr>
            <b/>
            <sz val="9"/>
            <color indexed="81"/>
            <rFont val="Segoe UI"/>
            <family val="2"/>
          </rPr>
          <t>Caixa:</t>
        </r>
        <r>
          <rPr>
            <sz val="9"/>
            <color indexed="81"/>
            <rFont val="Segoe UI"/>
            <family val="2"/>
          </rPr>
          <t xml:space="preserve">
INFORMA QUANTIDADE DE ETAPAS PREVISTAS COM BASE NA DATA INFORMADA NO CAMPO "TÉMINO PREVISTO"</t>
        </r>
      </text>
    </comment>
    <comment ref="Y104" authorId="1" shapeId="0" xr:uid="{00000000-0006-0000-0200-000008000000}">
      <text>
        <r>
          <rPr>
            <b/>
            <sz val="9"/>
            <color indexed="81"/>
            <rFont val="Segoe UI"/>
            <family val="2"/>
          </rPr>
          <t>Caixa:</t>
        </r>
        <r>
          <rPr>
            <sz val="9"/>
            <color indexed="81"/>
            <rFont val="Segoe UI"/>
            <family val="2"/>
          </rPr>
          <t xml:space="preserve">
Valor a ser informado no campo "% Acumulado" do SIOPI.</t>
        </r>
      </text>
    </comment>
    <comment ref="Y105" authorId="1" shapeId="0" xr:uid="{00000000-0006-0000-0200-000009000000}">
      <text>
        <r>
          <rPr>
            <b/>
            <sz val="9"/>
            <color indexed="81"/>
            <rFont val="Segoe UI"/>
            <family val="2"/>
          </rPr>
          <t>Caixa:</t>
        </r>
        <r>
          <rPr>
            <sz val="9"/>
            <color indexed="81"/>
            <rFont val="Segoe UI"/>
            <family val="2"/>
          </rPr>
          <t xml:space="preserve">
Inserir aqui o percentual constante no campo "Mensurado acumulado atual" da PLS referente a etapa anterior a atual.</t>
        </r>
      </text>
    </comment>
    <comment ref="Y107" authorId="1" shapeId="0" xr:uid="{00000000-0006-0000-0200-00000A000000}">
      <text>
        <r>
          <rPr>
            <b/>
            <sz val="9"/>
            <color indexed="81"/>
            <rFont val="Segoe UI"/>
            <family val="2"/>
          </rPr>
          <t>Caixa:</t>
        </r>
        <r>
          <rPr>
            <sz val="9"/>
            <color indexed="81"/>
            <rFont val="Segoe UI"/>
            <family val="2"/>
          </rPr>
          <t xml:space="preserve">
Valor a ser informado no campo "% Período" do SIOPI.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Caixa</author>
  </authors>
  <commentList>
    <comment ref="P59" authorId="0" shapeId="0" xr:uid="{DB718581-C5AE-45CB-986E-5C39B29B712F}">
      <text>
        <r>
          <rPr>
            <b/>
            <sz val="9"/>
            <color indexed="81"/>
            <rFont val="Segoe UI"/>
            <family val="2"/>
          </rPr>
          <t>Caixa:</t>
        </r>
        <r>
          <rPr>
            <sz val="9"/>
            <color indexed="81"/>
            <rFont val="Segoe UI"/>
            <family val="2"/>
          </rPr>
          <t xml:space="preserve">
Preencher conforme cronograma vigente. Consultar App Habitação e/ou Agencia/CCA no caso de dúvidas.</t>
        </r>
      </text>
    </comment>
    <comment ref="AD59" authorId="0" shapeId="0" xr:uid="{91B5DE5E-C30F-462F-8281-3B91F4CC5F9F}">
      <text>
        <r>
          <rPr>
            <b/>
            <sz val="9"/>
            <color indexed="81"/>
            <rFont val="Segoe UI"/>
            <family val="2"/>
          </rPr>
          <t>Caixa:</t>
        </r>
        <r>
          <rPr>
            <sz val="9"/>
            <color indexed="81"/>
            <rFont val="Segoe UI"/>
            <family val="2"/>
          </rPr>
          <t xml:space="preserve">
Consultar no APP Habitação os percentuais já liberados em cada etapa da operação.</t>
        </r>
      </text>
    </comment>
    <comment ref="AJ59" authorId="0" shapeId="0" xr:uid="{EC8B2F3E-E3CD-4537-B7CA-690B55DACB62}">
      <text>
        <r>
          <rPr>
            <b/>
            <sz val="9"/>
            <color indexed="81"/>
            <rFont val="Segoe UI"/>
            <family val="2"/>
          </rPr>
          <t>Caixa:</t>
        </r>
        <r>
          <rPr>
            <sz val="9"/>
            <color indexed="81"/>
            <rFont val="Segoe UI"/>
            <family val="2"/>
          </rPr>
          <t xml:space="preserve">
Para preencher os percentuais das etapas já liberadas, consultar as informações constantes no APP Habitação. </t>
        </r>
      </text>
    </comment>
    <comment ref="J194" authorId="0" shapeId="0" xr:uid="{00000000-0006-0000-0400-000002000000}">
      <text>
        <r>
          <rPr>
            <b/>
            <sz val="9"/>
            <color indexed="81"/>
            <rFont val="Segoe UI"/>
            <family val="2"/>
          </rPr>
          <t>Caixa:</t>
        </r>
        <r>
          <rPr>
            <sz val="9"/>
            <color indexed="81"/>
            <rFont val="Segoe UI"/>
            <family val="2"/>
          </rPr>
          <t xml:space="preserve">
Preencher apenas se a análise da reprogramação for feita por profissional do quadro próprio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Caixa</author>
  </authors>
  <commentList>
    <comment ref="J109" authorId="0" shapeId="0" xr:uid="{00000000-0006-0000-0500-000001000000}">
      <text>
        <r>
          <rPr>
            <b/>
            <sz val="9"/>
            <color indexed="81"/>
            <rFont val="Segoe UI"/>
            <family val="2"/>
          </rPr>
          <t>Caixa:</t>
        </r>
        <r>
          <rPr>
            <sz val="9"/>
            <color indexed="81"/>
            <rFont val="Segoe UI"/>
            <family val="2"/>
          </rPr>
          <t xml:space="preserve">
Preencher apenas se a análise da reprogramação for feita por profissional do quadro próprio</t>
        </r>
      </text>
    </comment>
  </commentList>
</comments>
</file>

<file path=xl/sharedStrings.xml><?xml version="1.0" encoding="utf-8"?>
<sst xmlns="http://schemas.openxmlformats.org/spreadsheetml/2006/main" count="960" uniqueCount="503">
  <si>
    <t>Orientações para Preenchimento</t>
  </si>
  <si>
    <t>1.01</t>
  </si>
  <si>
    <t>Observações:</t>
  </si>
  <si>
    <t>resp</t>
  </si>
  <si>
    <t>ocultar</t>
  </si>
  <si>
    <t>lista</t>
  </si>
  <si>
    <t>form</t>
  </si>
  <si>
    <t>end</t>
  </si>
  <si>
    <t>Grau de sigilo</t>
  </si>
  <si>
    <t>endfim0</t>
  </si>
  <si>
    <t>Proponente</t>
  </si>
  <si>
    <t>Telefone Prop.</t>
  </si>
  <si>
    <t>UF</t>
  </si>
  <si>
    <t>Complemento</t>
  </si>
  <si>
    <t>Bairro</t>
  </si>
  <si>
    <t>CEP</t>
  </si>
  <si>
    <t>Município</t>
  </si>
  <si>
    <t>Matrícula</t>
  </si>
  <si>
    <t>LD</t>
  </si>
  <si>
    <t>Local e data</t>
  </si>
  <si>
    <t>Nome:</t>
  </si>
  <si>
    <t>CPF:</t>
  </si>
  <si>
    <t>AE</t>
  </si>
  <si>
    <t>CAU/CREA:</t>
  </si>
  <si>
    <t>endfim2</t>
  </si>
  <si>
    <t>endfim3</t>
  </si>
  <si>
    <t>m²</t>
  </si>
  <si>
    <t>Identificação do imóvel proposto</t>
  </si>
  <si>
    <t>Item</t>
  </si>
  <si>
    <t>Serviços</t>
  </si>
  <si>
    <t>Gesso</t>
  </si>
  <si>
    <t>PVC</t>
  </si>
  <si>
    <t>Madeira</t>
  </si>
  <si>
    <t>Esquadrias</t>
  </si>
  <si>
    <t>Forros</t>
  </si>
  <si>
    <t>Pisos</t>
  </si>
  <si>
    <t>Outros serviços</t>
  </si>
  <si>
    <t>Oriente-se pelo seguinte esquema de cores para o preenchimento de informações:</t>
  </si>
  <si>
    <t>endfim4</t>
  </si>
  <si>
    <t>meses</t>
  </si>
  <si>
    <t>1.02</t>
  </si>
  <si>
    <t>1.03</t>
  </si>
  <si>
    <t>Modelos Padronizados Caixa</t>
  </si>
  <si>
    <t>(versão com macros, testadas nas versões Excel 2003 a 2013)</t>
  </si>
  <si>
    <t>1.04</t>
  </si>
  <si>
    <t>1.05</t>
  </si>
  <si>
    <t>Sim</t>
  </si>
  <si>
    <t>►</t>
  </si>
  <si>
    <t>PROPOSTA</t>
  </si>
  <si>
    <t>DOCUMENTAÇÃO PARA ANÁLISE TÉCNICA</t>
  </si>
  <si>
    <t>utilize os campos em roxo claro; se houver borda laranja, selecione uma opção pré-cadastrada; quando for borda cinza, digite a informação solicitada.</t>
  </si>
  <si>
    <t>Não modifique nada em campos de outras cores (branco, cinza, preto, hachurado...): eles podem conter fórmulas importantes, que invalidem o modelo se forem apagados.</t>
  </si>
  <si>
    <r>
      <t xml:space="preserve">Os documentos devem ser </t>
    </r>
    <r>
      <rPr>
        <b/>
        <sz val="9"/>
        <rFont val="Arial"/>
        <family val="2"/>
      </rPr>
      <t>entregues em arquivo digital e também impressos e assinados</t>
    </r>
    <r>
      <rPr>
        <sz val="9"/>
        <rFont val="Arial"/>
        <family val="2"/>
      </rPr>
      <t>.</t>
    </r>
  </si>
  <si>
    <t>1.06</t>
  </si>
  <si>
    <r>
      <t xml:space="preserve">Em caso de dúvidas, </t>
    </r>
    <r>
      <rPr>
        <b/>
        <sz val="9"/>
        <rFont val="Arial"/>
        <family val="2"/>
      </rPr>
      <t>solicite outro formulário original à sua Agência/SR/CCA de atendimento</t>
    </r>
    <r>
      <rPr>
        <sz val="9"/>
        <rFont val="Arial"/>
        <family val="2"/>
      </rPr>
      <t>.</t>
    </r>
  </si>
  <si>
    <t>2.01</t>
  </si>
  <si>
    <t>0.03</t>
  </si>
  <si>
    <t>Contrato</t>
  </si>
  <si>
    <t>0.02</t>
  </si>
  <si>
    <t>Autorização de Serviço</t>
  </si>
  <si>
    <t>Endereço</t>
  </si>
  <si>
    <t>Cronograma Físico Financeiro</t>
  </si>
  <si>
    <t>Revestimentos Internos</t>
  </si>
  <si>
    <t>Revestimentos Externos</t>
  </si>
  <si>
    <t>Louças e Metais</t>
  </si>
  <si>
    <t>RELATÓRIO FOTOGRÁFICO</t>
  </si>
  <si>
    <t>RL</t>
  </si>
  <si>
    <r>
      <t xml:space="preserve">Caso o proponente não tenha preenchido todos os dados, solicite ao mesmo a </t>
    </r>
    <r>
      <rPr>
        <b/>
        <sz val="9"/>
        <rFont val="Arial"/>
        <family val="2"/>
      </rPr>
      <t>complementação da informação</t>
    </r>
    <r>
      <rPr>
        <sz val="9"/>
        <rFont val="Arial"/>
        <family val="2"/>
      </rPr>
      <t xml:space="preserve">, se esta for fundamental para a análise, ou identifique com </t>
    </r>
    <r>
      <rPr>
        <b/>
        <sz val="9"/>
        <rFont val="Arial"/>
        <family val="2"/>
      </rPr>
      <t>nulo</t>
    </r>
    <r>
      <rPr>
        <sz val="9"/>
        <rFont val="Arial"/>
        <family val="2"/>
      </rPr>
      <t xml:space="preserve"> ou </t>
    </r>
    <r>
      <rPr>
        <b/>
        <sz val="9"/>
        <rFont val="Arial"/>
        <family val="2"/>
      </rPr>
      <t>prejudicado,</t>
    </r>
    <r>
      <rPr>
        <sz val="9"/>
        <rFont val="Arial"/>
        <family val="2"/>
      </rPr>
      <t xml:space="preserve"> no caso de a informação ser dispensável ou irrelevante para a análise.</t>
    </r>
  </si>
  <si>
    <t>Prezado(a) Proponente, RT ou Credenciado(a),</t>
  </si>
  <si>
    <t>E-mail</t>
  </si>
  <si>
    <t>Telefone</t>
  </si>
  <si>
    <t>ORI (Registro de Imóveis)</t>
  </si>
  <si>
    <t>Construtora (se houver)</t>
  </si>
  <si>
    <t>CNPJ</t>
  </si>
  <si>
    <t>Certidão de Matrícula do Imóvel</t>
  </si>
  <si>
    <t>(escolha)</t>
  </si>
  <si>
    <t>Alvará/Licença da Obra</t>
  </si>
  <si>
    <t>Terreno é próprio</t>
  </si>
  <si>
    <t>Coordenadas (Graus°, Min', S'')</t>
  </si>
  <si>
    <t>Falta</t>
  </si>
  <si>
    <t>Não</t>
  </si>
  <si>
    <t>Documentação básica</t>
  </si>
  <si>
    <t>Projeto</t>
  </si>
  <si>
    <t>Teto</t>
  </si>
  <si>
    <t>Divisão Interna</t>
  </si>
  <si>
    <t>Cobertura</t>
  </si>
  <si>
    <t>Revestimento Parede Áreas Molhadas</t>
  </si>
  <si>
    <t>Revestimento Piso Áreas Secas</t>
  </si>
  <si>
    <t>Preencher seguindo requisitos estritamente técnicos de engenharia e arquitetura, para evitar divergência com a análise e consequente revisão da proposta</t>
  </si>
  <si>
    <t>Memorial Descritivo</t>
  </si>
  <si>
    <t xml:space="preserve">Sist. Construtivo </t>
  </si>
  <si>
    <t xml:space="preserve">Projeto Padrão Adotado </t>
  </si>
  <si>
    <t>Telha aparente</t>
  </si>
  <si>
    <t>Sem revestimento</t>
  </si>
  <si>
    <t>Alumínio</t>
  </si>
  <si>
    <t>Cimentado</t>
  </si>
  <si>
    <t>Alvenaria</t>
  </si>
  <si>
    <t>CUB</t>
  </si>
  <si>
    <t>Ferro</t>
  </si>
  <si>
    <t>Cerâmica Comercial</t>
  </si>
  <si>
    <t>NBR 12721</t>
  </si>
  <si>
    <t>Pintura/Textura</t>
  </si>
  <si>
    <t>Vidro Temperado</t>
  </si>
  <si>
    <t>São Tomé</t>
  </si>
  <si>
    <t>PINI</t>
  </si>
  <si>
    <t>Grafiato</t>
  </si>
  <si>
    <t>Emborrachado</t>
  </si>
  <si>
    <t>Concreto</t>
  </si>
  <si>
    <t>SINAPI</t>
  </si>
  <si>
    <t>Granita</t>
  </si>
  <si>
    <t>Outros</t>
  </si>
  <si>
    <t>Aço</t>
  </si>
  <si>
    <t>Formicado</t>
  </si>
  <si>
    <t>Porcelanato 2ª</t>
  </si>
  <si>
    <t>Laje</t>
  </si>
  <si>
    <t>Granito/Mármore 2ª</t>
  </si>
  <si>
    <t>Laje Impermeabilizada</t>
  </si>
  <si>
    <t>Cerâmica Extra</t>
  </si>
  <si>
    <t>Árdosia</t>
  </si>
  <si>
    <t>Vinílico</t>
  </si>
  <si>
    <t>Granito/Mármore 1ª</t>
  </si>
  <si>
    <t>Porcelanato 1ª</t>
  </si>
  <si>
    <t>GARANTIA CAIXA</t>
  </si>
  <si>
    <t>Sim, o Imóvel ATENDE aos itens e condições mínimas como garantia CAIXA.</t>
  </si>
  <si>
    <t>Não, o Imóvel NÃO ATENDE aos itens e condições mínimas como garantia CAIXA.</t>
  </si>
  <si>
    <t>Sim,  DECLARO que as modificicações dos itens NÃO afetam a garantia da CAIXA.</t>
  </si>
  <si>
    <t>NÃO, DECLARO que as modificicações dos itens AFETAM a garantia,  NÃO ATENDENDO as condições mínimas da CAIXA.</t>
  </si>
  <si>
    <t>DOCUMENTAÇÃO COMPLEMENTAR À ALTERAÇÃO DE GARANTIA</t>
  </si>
  <si>
    <t>Sim, DECLARO que a documentação apresentada pelo proponete está de acordo com as condições mínimas do órgão responsável.</t>
  </si>
  <si>
    <t>Não, DECLARO que a documentação apresentada pelo proponete não está de acordo com as condições mínimas do órgão responsável.</t>
  </si>
  <si>
    <t>Apoio à Produção de Imóveis</t>
  </si>
  <si>
    <t>FGTS</t>
  </si>
  <si>
    <t>SBPE</t>
  </si>
  <si>
    <t>FGTS/SBPE</t>
  </si>
  <si>
    <t>Orientações de preenchimento da justificativa</t>
  </si>
  <si>
    <t>Para todos os tipos: Será assinalado "satifatória após futra implantação" apenas se a previsão de execução for concomitante à construção do empreendimento, com custos não incidentes. Nesse caso, deverá ser preenchido quadro seguinte.</t>
  </si>
  <si>
    <t>Apoio à Produção de Imóveis - Operações Especiais</t>
  </si>
  <si>
    <t>Rede de esgoto pública: Se assinalado "dispensável", deverá ser informada a solução de esgotamento sanitário proposta, como sumidouro, valas de infiltração etc.</t>
  </si>
  <si>
    <t>PEC / MPE</t>
  </si>
  <si>
    <t>Abastecimento de gás: Se assinalado "dispensável", deverá ser informada a solução proposta, como utilização de botijão individual ou central de gás com botijões coletivos.</t>
  </si>
  <si>
    <t>Alocação de Recursos em Construção</t>
  </si>
  <si>
    <t>Rede de águas pluviais: Se assinalado "dispensável", deverá ser informada a solução de drenagem proposta, como escoamento superficial, constanto a destinação final.</t>
  </si>
  <si>
    <t>Produção de Lotes Urbanizados - PRODULOTE - PJ</t>
  </si>
  <si>
    <t>SBPE/SFI</t>
  </si>
  <si>
    <t>Coleta de lixo e transporte coletivo: Será assinalado "não disponível" quando o Município não dispuser dos serviços.</t>
  </si>
  <si>
    <t>MCMV - Recursos FAR</t>
  </si>
  <si>
    <t>FAR</t>
  </si>
  <si>
    <t>MCMV Entidades - Recursos FDS</t>
  </si>
  <si>
    <t>FDS</t>
  </si>
  <si>
    <t>MCMV Rural - PNHR</t>
  </si>
  <si>
    <t>OGU</t>
  </si>
  <si>
    <t>Outro</t>
  </si>
  <si>
    <t>Abastecimento água</t>
  </si>
  <si>
    <t xml:space="preserve">(escolha); </t>
  </si>
  <si>
    <t xml:space="preserve">disponível; </t>
  </si>
  <si>
    <t>satisfatória após futura implantação</t>
  </si>
  <si>
    <t>(escolha); disponível; satisfatória após futura implantação</t>
  </si>
  <si>
    <t>Rede de esgoto pública</t>
  </si>
  <si>
    <t>disponível</t>
  </si>
  <si>
    <t>dispensável</t>
  </si>
  <si>
    <t>Abastecimento de energia elétrica</t>
  </si>
  <si>
    <t>Coleta de lixo</t>
  </si>
  <si>
    <t>não disponível</t>
  </si>
  <si>
    <t>Iluminação pública</t>
  </si>
  <si>
    <t>Pavimentação</t>
  </si>
  <si>
    <t>Guias e sarjetas</t>
  </si>
  <si>
    <t>Abastecimento de gás</t>
  </si>
  <si>
    <t>Rede de águas pluviais</t>
  </si>
  <si>
    <t>Transporte coletivo</t>
  </si>
  <si>
    <t>convencional</t>
  </si>
  <si>
    <t>não convencional</t>
  </si>
  <si>
    <t>inovador</t>
  </si>
  <si>
    <t>PRÉ-MOLDADO BLOCO CERÂMICO</t>
  </si>
  <si>
    <t>Pré-moldado bloco cerâmico</t>
  </si>
  <si>
    <t>CONCRETO LEVE</t>
  </si>
  <si>
    <t>Concreto leve</t>
  </si>
  <si>
    <t>PRÉ-MOLDADO CONCRETO ALVEOLAR</t>
  </si>
  <si>
    <t>Pré-moldado concreto alveolar</t>
  </si>
  <si>
    <t xml:space="preserve">PRÉ-MOLDADO CONCRETO </t>
  </si>
  <si>
    <t xml:space="preserve">Pré-moldado concreto </t>
  </si>
  <si>
    <t>PVC + CONCRETO</t>
  </si>
  <si>
    <t>PVC + concreto</t>
  </si>
  <si>
    <t>LIGHT STEEL FRAME</t>
  </si>
  <si>
    <t>Light steel frame</t>
  </si>
  <si>
    <t>WOOD FRAME</t>
  </si>
  <si>
    <t>Wood frame</t>
  </si>
  <si>
    <t>PAINÉIS COMPÓSITOS</t>
  </si>
  <si>
    <t>Painéis compósitos</t>
  </si>
  <si>
    <t xml:space="preserve">BLOCO GESSO </t>
  </si>
  <si>
    <t xml:space="preserve">Bloco gesso </t>
  </si>
  <si>
    <t>SOLO CIMENTO</t>
  </si>
  <si>
    <t>Solo-cimento</t>
  </si>
  <si>
    <t>Outros (Especificar)</t>
  </si>
  <si>
    <t>Incidências aceitáveis</t>
  </si>
  <si>
    <t>Incidência</t>
  </si>
  <si>
    <t>% Ac.</t>
  </si>
  <si>
    <t>Paredes e Painéis</t>
  </si>
  <si>
    <t>Pinturas</t>
  </si>
  <si>
    <t>Instalações Elétricas e Telefônicas</t>
  </si>
  <si>
    <t>Instalações: Esgoto e Águas Pluviais</t>
  </si>
  <si>
    <t>TOTAIS</t>
  </si>
  <si>
    <t>Serviços componentes do projeto/custo referencial adotado</t>
  </si>
  <si>
    <t>Serviços adicionais</t>
  </si>
  <si>
    <t>Custos [R$]</t>
  </si>
  <si>
    <t>Mínimo [%]</t>
  </si>
  <si>
    <t>Máximo [%]</t>
  </si>
  <si>
    <t>Inserir Poligonal do Terreno</t>
  </si>
  <si>
    <t>A Partir do Google Earth ou Planta do Loteamento</t>
  </si>
  <si>
    <t>Cliente/Proponente</t>
  </si>
  <si>
    <t>Cronograma Reprogramado</t>
  </si>
  <si>
    <t>QUADRO-RESUMO</t>
  </si>
  <si>
    <t>Etapa</t>
  </si>
  <si>
    <t>Cronograma Original</t>
  </si>
  <si>
    <t>E-mail – RTP</t>
  </si>
  <si>
    <t>Nº CAU/CREA/CFT–RTP</t>
  </si>
  <si>
    <t>CPF – RTP</t>
  </si>
  <si>
    <t>Telefone – RTP</t>
  </si>
  <si>
    <t>E-mail – RTE</t>
  </si>
  <si>
    <t>Nº CAU/CREA/CFT–RTE</t>
  </si>
  <si>
    <t>CPF – RTE</t>
  </si>
  <si>
    <t>Telefone – RTE</t>
  </si>
  <si>
    <t>W</t>
  </si>
  <si>
    <t>ART/RRT/TRT de Proj. Arquitetura</t>
  </si>
  <si>
    <t>Projeto Legal/Arquit. c/ divisões</t>
  </si>
  <si>
    <t>ART/RRT/TRT de Exec. de Obra</t>
  </si>
  <si>
    <t>Número</t>
  </si>
  <si>
    <t>Sistema Construtivo</t>
  </si>
  <si>
    <t>Área do Terreno</t>
  </si>
  <si>
    <t>Revestimento Piso Áreas Molhadas</t>
  </si>
  <si>
    <t>Acabamento Paredes Externas</t>
  </si>
  <si>
    <t>Pintura/Textura/Grafiato</t>
  </si>
  <si>
    <t>Acabamento Paredes Internas</t>
  </si>
  <si>
    <t>Padrão de Acabamento</t>
  </si>
  <si>
    <t>Normal</t>
  </si>
  <si>
    <t>Esquadrias Internas</t>
  </si>
  <si>
    <t>Linha Média</t>
  </si>
  <si>
    <t>Área Construída Total</t>
  </si>
  <si>
    <t>R$</t>
  </si>
  <si>
    <t>Valor do Terreno</t>
  </si>
  <si>
    <t>Sistema Construtivo Outros (Especificar)</t>
  </si>
  <si>
    <t>Forro</t>
  </si>
  <si>
    <t>Telha de Barro/Concreto</t>
  </si>
  <si>
    <t>Pedra</t>
  </si>
  <si>
    <t>Laminado</t>
  </si>
  <si>
    <t>Granito/Mármore</t>
  </si>
  <si>
    <t>Esquadrias Externas</t>
  </si>
  <si>
    <t>Linha Popular</t>
  </si>
  <si>
    <t>Baixo</t>
  </si>
  <si>
    <t>Linha Luxo</t>
  </si>
  <si>
    <t>Alto</t>
  </si>
  <si>
    <t>Cerâmica/Porcelanato</t>
  </si>
  <si>
    <t>Tijolo/Bloco Aparente Tratado/Impermeabilizado</t>
  </si>
  <si>
    <t>Acabamento Externo/Interno</t>
  </si>
  <si>
    <t xml:space="preserve">Paredes/Painéis </t>
  </si>
  <si>
    <t>Esquadrias Externas/Internas</t>
  </si>
  <si>
    <t>Infraestrutura (estacas, brocas, baldrames, sapatas)</t>
  </si>
  <si>
    <t>Supraestrutura (Vigas, pilares, cintas, escadas)</t>
  </si>
  <si>
    <t>Coberturas (estrutura e telhas)</t>
  </si>
  <si>
    <t>Complementos (limpeza final e calafete)</t>
  </si>
  <si>
    <t>Barracão+lig. provisórias(água/luz)+projetos/aprovs.</t>
  </si>
  <si>
    <t>Outros (discriminar em Serviços Adicionais, abaixo)</t>
  </si>
  <si>
    <t>BDI</t>
  </si>
  <si>
    <t>Resumo dos custos</t>
  </si>
  <si>
    <t>Justificativas para itens fora das referências de incidência no orçamento acima</t>
  </si>
  <si>
    <t>Prazo de Execução</t>
  </si>
  <si>
    <t>% Etapa</t>
  </si>
  <si>
    <t>Valor Acumulado</t>
  </si>
  <si>
    <t>% Acu mul.</t>
  </si>
  <si>
    <t>PréExc.</t>
  </si>
  <si>
    <t>Descrição das obras já executadas</t>
  </si>
  <si>
    <t>Descrever foto</t>
  </si>
  <si>
    <t>% Evolução</t>
  </si>
  <si>
    <t>% Acumulado</t>
  </si>
  <si>
    <t>Empresa:</t>
  </si>
  <si>
    <t>Proposta de Construção Individual - CAIXA</t>
  </si>
  <si>
    <t>Custos</t>
  </si>
  <si>
    <t>Aço estrutural e Blocos de Vedação - Convencional;Alvenaria estrutural - Convencional;Estrutura de concreto e blocos de vedação - Convencional;Paredes de concreto NBR 16055/NBR 16475 - Convencional;Estrutura de Madeira com Blocos de Vedação - Convencional;Wood Framing - Inovador;Madeira (como componente de vedação) - Inovador;Steel Framing - Inovador;Parede de Concreto com EPS - Inovador; Parede de Concreto não Prevista nas Normas da ABNT - Inovador;Outros</t>
  </si>
  <si>
    <t>PROPOSTA DE ALTERAÇÃO</t>
  </si>
  <si>
    <t>Solução acatada na Contratação da operação</t>
  </si>
  <si>
    <t>IDENTIFICAÇÃO</t>
  </si>
  <si>
    <t>Proposta de Reprogramação</t>
  </si>
  <si>
    <t>Alteração de Projeto/Especificação</t>
  </si>
  <si>
    <t xml:space="preserve">Identificação do imóvel </t>
  </si>
  <si>
    <t>Identificação do imóvel</t>
  </si>
  <si>
    <r>
      <rPr>
        <b/>
        <sz val="7"/>
        <rFont val="Arial"/>
        <family val="2"/>
      </rPr>
      <t>Documentação complementar</t>
    </r>
    <r>
      <rPr>
        <sz val="7"/>
        <rFont val="Arial"/>
        <family val="2"/>
      </rPr>
      <t xml:space="preserve"> (listar documentação apresentada)</t>
    </r>
  </si>
  <si>
    <t>Proposta de Construção Individual</t>
  </si>
  <si>
    <t>Proposta de Reprogramação  de Cronograma</t>
  </si>
  <si>
    <t>projeto</t>
  </si>
  <si>
    <t>reprograma</t>
  </si>
  <si>
    <t>proposta</t>
  </si>
  <si>
    <t>Declarações e Ciência do Proponente e do Responsável Técnico, quanto às Condições de Financiamento de Construção</t>
  </si>
  <si>
    <t>CAU/CREA/CFT:</t>
  </si>
  <si>
    <t>Data de validade</t>
  </si>
  <si>
    <t>Executor obra</t>
  </si>
  <si>
    <t>O PROPONENTE e o RESPONSÁVEL TÉCNICO PELA EXECUÇÃO DA OBRA declaram, sob as penas da Lei, que:</t>
  </si>
  <si>
    <t>Responsável Técnico pela execução da obra</t>
  </si>
  <si>
    <t>Para subsidiar a análise de viabilidade econômico-financeira, incluir os custos de todos os serviços necessários à execução do imóvel aqui</t>
  </si>
  <si>
    <t>Telha de Fibrocimto. c/ Platibanda</t>
  </si>
  <si>
    <t>Telha de Fibrocimto. s/ Platibanda</t>
  </si>
  <si>
    <t>Pint./Text./Grafto. e det. em Pedra/Cerâmica</t>
  </si>
  <si>
    <t>Tijolo/Blc. Apar. Tratado/Imperm.</t>
  </si>
  <si>
    <t>Telha Metálica c/ Platibanda</t>
  </si>
  <si>
    <t>Telha Metálica s/ Platibanda</t>
  </si>
  <si>
    <t>Concessionária</t>
  </si>
  <si>
    <t>Poço</t>
  </si>
  <si>
    <t>Outra</t>
  </si>
  <si>
    <t>Fossa e Sumidouro</t>
  </si>
  <si>
    <t>Fossa e Filtro</t>
  </si>
  <si>
    <t>Rede de Esgoto</t>
  </si>
  <si>
    <t>Coleta/Tratamento de Esgoto</t>
  </si>
  <si>
    <t>Abastecimento d'Água</t>
  </si>
  <si>
    <t>Drenagem</t>
  </si>
  <si>
    <t>Rede de Água Pluvial</t>
  </si>
  <si>
    <t>Nenhuma</t>
  </si>
  <si>
    <t>Fotovoltaica</t>
  </si>
  <si>
    <t>Eólica</t>
  </si>
  <si>
    <t>Geração Alternativa de Energia</t>
  </si>
  <si>
    <t>Pards./Painéis Á. Secas</t>
  </si>
  <si>
    <t>Revest.Piso Á.Molhadas</t>
  </si>
  <si>
    <t>Revest.Piso Á.Secas</t>
  </si>
  <si>
    <t>Revest.Pards.Á.Molhadas</t>
  </si>
  <si>
    <t>Interna ao terreno</t>
  </si>
  <si>
    <t>Coleta/Tratmto. Esgoto</t>
  </si>
  <si>
    <t>Ger. Alternt. de Energia</t>
  </si>
  <si>
    <t>Conv:Alvenaria estrutural</t>
  </si>
  <si>
    <t>Conv:Aço estrutural/Blcs.vedação</t>
  </si>
  <si>
    <t>Conv:Estrutura de concreto/Blcs.vedação</t>
  </si>
  <si>
    <t>Conv:Estrutura de madeira/Blcs.vedação</t>
  </si>
  <si>
    <t>Conv:Paredes de concreto NBR nº 16055/16475</t>
  </si>
  <si>
    <t>Inov:Madeira (componente de vedação)</t>
  </si>
  <si>
    <t>fechar</t>
  </si>
  <si>
    <t>RT pelo Proj. Arquit./Edif. – RTP</t>
  </si>
  <si>
    <t>RT pela Execução da Obra – RTE</t>
  </si>
  <si>
    <t>Finalidade</t>
  </si>
  <si>
    <t>Discriminar a solução prevista em projeto para caracterizar o padrão do acabamento</t>
  </si>
  <si>
    <t>Laje+Forro</t>
  </si>
  <si>
    <t>Custos Propostos</t>
  </si>
  <si>
    <t>Custo Total de Serviços</t>
  </si>
  <si>
    <t>Custo Total com BDI</t>
  </si>
  <si>
    <t>Custo Total de Produção</t>
  </si>
  <si>
    <t>Totais</t>
  </si>
  <si>
    <t>Unitário/m²</t>
  </si>
  <si>
    <t>Custo Total de Serviços c/ BDI</t>
  </si>
  <si>
    <t>Á. Serviço</t>
  </si>
  <si>
    <t>Interna</t>
  </si>
  <si>
    <t>Externa coberta</t>
  </si>
  <si>
    <t>Impantação/Inserção</t>
  </si>
  <si>
    <t>Isolada</t>
  </si>
  <si>
    <t>Condomínio</t>
  </si>
  <si>
    <t>Água Quente</t>
  </si>
  <si>
    <t>Aquecimento solar</t>
  </si>
  <si>
    <t>Aquecimento à gás</t>
  </si>
  <si>
    <t>Padrão  Acabamento</t>
  </si>
  <si>
    <t>Pavtos.</t>
  </si>
  <si>
    <t>Quartos</t>
  </si>
  <si>
    <t>Salas</t>
  </si>
  <si>
    <t>Vagas</t>
  </si>
  <si>
    <t>Tipo de Vagas</t>
  </si>
  <si>
    <t>Cozinha</t>
  </si>
  <si>
    <t>Cozinha+A.Serviço</t>
  </si>
  <si>
    <t>Cozinha+Copa</t>
  </si>
  <si>
    <t>Cozinha americana</t>
  </si>
  <si>
    <t xml:space="preserve">Calefação </t>
  </si>
  <si>
    <t xml:space="preserve">Sustentabilidade </t>
  </si>
  <si>
    <t>Isolada(parte empr.não-condom.)</t>
  </si>
  <si>
    <t>Proposta de Financiamento de Unidade Isolada</t>
  </si>
  <si>
    <t>Observações Gerais:</t>
  </si>
  <si>
    <t>Setor PLANILHA DE LEVANTAMENTO DE SERVIÇOS – PLS:</t>
  </si>
  <si>
    <r>
      <t xml:space="preserve">Preencha os </t>
    </r>
    <r>
      <rPr>
        <b/>
        <sz val="9"/>
        <rFont val="Arial"/>
        <family val="2"/>
      </rPr>
      <t>campos de percentual</t>
    </r>
    <r>
      <rPr>
        <sz val="9"/>
        <rFont val="Arial"/>
        <family val="2"/>
      </rPr>
      <t xml:space="preserve"> com os valores que melhor se adequam ao </t>
    </r>
    <r>
      <rPr>
        <b/>
        <sz val="9"/>
        <rFont val="Arial"/>
        <family val="2"/>
      </rPr>
      <t>estágio do serviço medido</t>
    </r>
    <r>
      <rPr>
        <sz val="9"/>
        <rFont val="Arial"/>
        <family val="2"/>
      </rPr>
      <t>.</t>
    </r>
  </si>
  <si>
    <t>Setor RELATÓRIO FOTOGRÁFICO:</t>
  </si>
  <si>
    <t>3.01</t>
  </si>
  <si>
    <t>3.02</t>
  </si>
  <si>
    <t>3.03</t>
  </si>
  <si>
    <t>3.04</t>
  </si>
  <si>
    <t>Planilha de Levantamento de Serviços – PLS</t>
  </si>
  <si>
    <t>Cronograma Previsto</t>
  </si>
  <si>
    <t>PLANILHA DE LEVANTAMENTO DE SERVIÇOS – PLS</t>
  </si>
  <si>
    <t>Parcela</t>
  </si>
  <si>
    <t>Executado mês</t>
  </si>
  <si>
    <t>Acumulado</t>
  </si>
  <si>
    <t>Mês Executado</t>
  </si>
  <si>
    <t>Parcela atual</t>
  </si>
  <si>
    <t>HABITAÇÃO</t>
  </si>
  <si>
    <t>DATAS &amp; QUALIDADE</t>
  </si>
  <si>
    <t>Executado</t>
  </si>
  <si>
    <t>Etapa prevista</t>
  </si>
  <si>
    <t>Etapa efetiva</t>
  </si>
  <si>
    <t>Inci-dência</t>
  </si>
  <si>
    <t>Execu-ção do Item</t>
  </si>
  <si>
    <t>Execu-ção na Obra</t>
  </si>
  <si>
    <t>Parcela prevista</t>
  </si>
  <si>
    <t>%</t>
  </si>
  <si>
    <t>Serviços Preliminares e Gerais</t>
  </si>
  <si>
    <t>Infraestrutura</t>
  </si>
  <si>
    <t>Vidros e Plásticos</t>
  </si>
  <si>
    <t>Coberturas</t>
  </si>
  <si>
    <t>Impermeabilizações</t>
  </si>
  <si>
    <t>Pintura</t>
  </si>
  <si>
    <t>Acabamentos</t>
  </si>
  <si>
    <t>Inst. Elétricas e Telefônicas</t>
  </si>
  <si>
    <t>Instalações Hidráulicas</t>
  </si>
  <si>
    <t>Inst. Esgoto e Águas Pluviais</t>
  </si>
  <si>
    <t>Complementos</t>
  </si>
  <si>
    <t>Outros Serviços</t>
  </si>
  <si>
    <t>Mensurado acumulado no mês anterior</t>
  </si>
  <si>
    <t>Variação do período</t>
  </si>
  <si>
    <t>A Obra esta sendo executada observando as condições mínimas?</t>
  </si>
  <si>
    <t>A placa/adesivo CAIXA está afixada na obra?</t>
  </si>
  <si>
    <t>O alvará está válido?</t>
  </si>
  <si>
    <t>Projeto e especificações estão sendo cumpridos?</t>
  </si>
  <si>
    <t>Os serviços estão sendo executados de modo a prevenir o aparecimento de danos físicos/vícios futuros?</t>
  </si>
  <si>
    <t>Etapa prevista no cronograma físico-financeiro:</t>
  </si>
  <si>
    <t>PLS</t>
  </si>
  <si>
    <t>Situação da obra</t>
  </si>
  <si>
    <t>Situação da obra:</t>
  </si>
  <si>
    <t>percentual 90 dias</t>
  </si>
  <si>
    <t>diferença</t>
  </si>
  <si>
    <t>% executado:</t>
  </si>
  <si>
    <t>Prazo de Obra:</t>
  </si>
  <si>
    <t>Etapa indicada:</t>
  </si>
  <si>
    <t>data início</t>
  </si>
  <si>
    <t>ano</t>
  </si>
  <si>
    <t>mês</t>
  </si>
  <si>
    <t>dia</t>
  </si>
  <si>
    <t>Etapa prevista em relação à data de vistoria:</t>
  </si>
  <si>
    <t>data fim</t>
  </si>
  <si>
    <t>Etapa de Referência:</t>
  </si>
  <si>
    <t>% de adiantamento ou atraso:</t>
  </si>
  <si>
    <t>situação da obra:</t>
  </si>
  <si>
    <t>Atrasada (-)   /   Adiantada (+)    em dias:</t>
  </si>
  <si>
    <t>etapa real/executando:</t>
  </si>
  <si>
    <t>etapa concluída:</t>
  </si>
  <si>
    <t>situação da obra</t>
  </si>
  <si>
    <t>evolução acima de 88%</t>
  </si>
  <si>
    <t>adiantada</t>
  </si>
  <si>
    <t>normal</t>
  </si>
  <si>
    <t>em atenção</t>
  </si>
  <si>
    <t>em risco de paralisação</t>
  </si>
  <si>
    <t>inferior a 1% em 90 dias</t>
  </si>
  <si>
    <t>paralisado</t>
  </si>
  <si>
    <t>Previsto acumulado</t>
  </si>
  <si>
    <t>Responsável Legal pela Empresa Credenciada</t>
  </si>
  <si>
    <t>MANIFESTAÇÃO TÉCNICA DE ENGENHARIA (Campos de uso exclusivo da CAIXA)</t>
  </si>
  <si>
    <t>Observações</t>
  </si>
  <si>
    <t>Concordamos com a Reprogramação proposta e acatamos o novo Cronograma?</t>
  </si>
  <si>
    <t xml:space="preserve">Outras Observações (incluir características/informações relevante específicas da proposta) </t>
  </si>
  <si>
    <t>Nº Etapas previstas para conclusão da obra</t>
  </si>
  <si>
    <t>Concordamos com as alterações de projeto/especificações propostas?</t>
  </si>
  <si>
    <t>Projeto Legal Aprovado</t>
  </si>
  <si>
    <t>Documentação complementar</t>
  </si>
  <si>
    <t>Dimensione a foto para que fique perfeitamente inserida dentro da célula</t>
  </si>
  <si>
    <r>
      <t xml:space="preserve">Para </t>
    </r>
    <r>
      <rPr>
        <b/>
        <sz val="9"/>
        <rFont val="Arial"/>
        <family val="2"/>
      </rPr>
      <t xml:space="preserve">eliminar a foto </t>
    </r>
    <r>
      <rPr>
        <sz val="9"/>
        <rFont val="Arial"/>
        <family val="2"/>
      </rPr>
      <t xml:space="preserve">inserida, </t>
    </r>
    <r>
      <rPr>
        <b/>
        <sz val="9"/>
        <rFont val="Arial"/>
        <family val="2"/>
      </rPr>
      <t>clique nela e pressione delete.</t>
    </r>
  </si>
  <si>
    <t>ORI (Regst. de Imóveis)</t>
  </si>
  <si>
    <t>Documentação Complementar,
para análise de propostas com
Sistemas Construtivos Inovadores</t>
  </si>
  <si>
    <t>Suítes</t>
  </si>
  <si>
    <t>Implantação/Inserção</t>
  </si>
  <si>
    <t>Externa descoberta</t>
  </si>
  <si>
    <t>Acabamentos (soleiras, rodapés, peitoril etc.)</t>
  </si>
  <si>
    <t>Matrícula:</t>
  </si>
  <si>
    <r>
      <t xml:space="preserve">Alteração proposta e Justificativa Técnica </t>
    </r>
    <r>
      <rPr>
        <sz val="7"/>
        <rFont val="Arial"/>
        <family val="2"/>
      </rPr>
      <t>(detalhar a proposta, embasar técnica e financeiramente a alteração com informações que permitam avaliar se a solução proposta mantém ou eleva o desempenho técnico em relação a solução contratada, anexar à proposta detalhes de projeto e/ou outros documentos que permitam a  analise do pedido)</t>
    </r>
  </si>
  <si>
    <t>PréExist.</t>
  </si>
  <si>
    <r>
      <t xml:space="preserve">Para acrescentar fotos ao </t>
    </r>
    <r>
      <rPr>
        <b/>
        <sz val="9"/>
        <rFont val="Arial"/>
        <family val="2"/>
      </rPr>
      <t>Relatório Fotográfico</t>
    </r>
    <r>
      <rPr>
        <sz val="9"/>
        <rFont val="Arial"/>
        <family val="2"/>
      </rPr>
      <t xml:space="preserve">, que se encontra ao final desta planilha, Selecione a célula na qual irá inserir a foto, clique em Inserir &gt;&gt; Ilustrações &gt;&gt; Imagens &gt;&gt; Este Dispositivo e </t>
    </r>
    <r>
      <rPr>
        <b/>
        <sz val="9"/>
        <rFont val="Arial"/>
        <family val="2"/>
      </rPr>
      <t>escolha o arquivo desejado</t>
    </r>
    <r>
      <rPr>
        <sz val="9"/>
        <rFont val="Arial"/>
        <family val="2"/>
      </rPr>
      <t>.</t>
    </r>
  </si>
  <si>
    <t>O CLIENTE e o RESPONSÁVEL TÉCNICO pela execução da obra declaram, sob as penas da Lei, que são verídicas as informações aqui prestadas e que estas correspondem fielmente à atual situação da obra; eventuais irregularidades, identificadas no acompanhamento da obra, sujeitam ambos, o CLIENTE e o RESPONSÁVEL TÉCNICO, à inclusão no Cadastro Informativo de Pessoas Físicas e Jurídicas com relacionamento com a CAIXA – CONRES</t>
  </si>
  <si>
    <t>Responsável Técnico pela Manifestação de Engenharia</t>
  </si>
  <si>
    <t>Data do Levantamento</t>
  </si>
  <si>
    <t>Supra estrutura</t>
  </si>
  <si>
    <r>
      <t xml:space="preserve">Sugerimos sempre </t>
    </r>
    <r>
      <rPr>
        <b/>
        <sz val="9"/>
        <rFont val="Arial"/>
        <family val="2"/>
      </rPr>
      <t>guardar o arquivo original em uma pasta segura e preencher uma cópia</t>
    </r>
    <r>
      <rPr>
        <sz val="9"/>
        <rFont val="Arial"/>
        <family val="2"/>
      </rPr>
      <t xml:space="preserve"> deste no formato "</t>
    </r>
    <r>
      <rPr>
        <b/>
        <sz val="9"/>
        <rFont val="Arial"/>
        <family val="2"/>
      </rPr>
      <t>xlsm</t>
    </r>
    <r>
      <rPr>
        <sz val="9"/>
        <rFont val="Arial"/>
        <family val="2"/>
      </rPr>
      <t>", de forma a garantir a existência de um modelo válido, no caso de um erro qualquer no preenchimento dos dados.</t>
    </r>
  </si>
  <si>
    <t>Construção em Terreno Próprio e Aquisição de Terreno e Construção</t>
  </si>
  <si>
    <t>Proposta de Alteração de Projeto/Especificação</t>
  </si>
  <si>
    <t>Contratação</t>
  </si>
  <si>
    <t>Término Previsto</t>
  </si>
  <si>
    <t>Quando houver custos adicionais, não contemplados nos custos referenciais (p.ex.: demolições, fundações especiais, cortes, aterros e contenções excepcionais, elevadores e equipamentos especiais, piscinas, quadras de esportes etc.), todos estes serviços devem ser inseridos no quadro "Serviços Adicionais" abaixo</t>
  </si>
  <si>
    <t>Áreas</t>
  </si>
  <si>
    <t>Área Coberta Padrão</t>
  </si>
  <si>
    <t>Área Permeável</t>
  </si>
  <si>
    <t>Área Acessória Coberta</t>
  </si>
  <si>
    <t>Destinação do Imóvel</t>
  </si>
  <si>
    <t>CPF/CNPJ Prop.</t>
  </si>
  <si>
    <t>Data Emissão Alvará</t>
  </si>
  <si>
    <t>Validade do Alvará</t>
  </si>
  <si>
    <t>Data Vigência Alavrá</t>
  </si>
  <si>
    <r>
      <t xml:space="preserve">Todos os campos em roxo claro e os campos de "IDENTIFICAÇÃO" precisam estar preenchidos. </t>
    </r>
    <r>
      <rPr>
        <b/>
        <sz val="9"/>
        <color indexed="60"/>
        <rFont val="Arial"/>
        <family val="2"/>
      </rPr>
      <t>A ausência dessas informações, bem como a ausência das assinaturas do proponente e do Responsável Técnico pela execução da obra invalidam esse documento.</t>
    </r>
  </si>
  <si>
    <r>
      <t xml:space="preserve">Os documentos devem ser </t>
    </r>
    <r>
      <rPr>
        <b/>
        <sz val="9"/>
        <rFont val="Arial"/>
        <family val="2"/>
      </rPr>
      <t>entregues em arquivo digital e também impressos e assinados</t>
    </r>
    <r>
      <rPr>
        <sz val="9"/>
        <rFont val="Arial"/>
        <family val="2"/>
      </rPr>
      <t xml:space="preserve">. O preenchimento das datas de Contratação, Término Previsto e da Vistoria é obrigatório, </t>
    </r>
    <r>
      <rPr>
        <b/>
        <sz val="9"/>
        <rFont val="Arial"/>
        <family val="2"/>
      </rPr>
      <t>sem essas datas o documento não tem validade</t>
    </r>
    <r>
      <rPr>
        <sz val="9"/>
        <rFont val="Arial"/>
        <family val="2"/>
      </rPr>
      <t>. A Data de Contratação nunca muda mesmo que haja reprogramação do contrato.</t>
    </r>
  </si>
  <si>
    <r>
      <rPr>
        <b/>
        <sz val="9"/>
        <rFont val="Arial"/>
        <family val="2"/>
      </rPr>
      <t xml:space="preserve">Este arquivo foi protegido com senha, para evitar quaisquer erros, oriundos de distração, mal uso ou mesmo má fé. Só devem ser preenchidos os campos em roxo claro.  </t>
    </r>
    <r>
      <rPr>
        <sz val="9"/>
        <color indexed="8"/>
        <rFont val="Arial"/>
        <family val="2"/>
      </rPr>
      <t xml:space="preserve">Esta planilha </t>
    </r>
    <r>
      <rPr>
        <b/>
        <sz val="9"/>
        <color indexed="8"/>
        <rFont val="Arial"/>
        <family val="2"/>
      </rPr>
      <t xml:space="preserve">embasará os desembolsos </t>
    </r>
    <r>
      <rPr>
        <sz val="9"/>
        <color indexed="8"/>
        <rFont val="Arial"/>
        <family val="2"/>
      </rPr>
      <t>do seu contrato</t>
    </r>
    <r>
      <rPr>
        <b/>
        <sz val="9"/>
        <color indexed="8"/>
        <rFont val="Arial"/>
        <family val="2"/>
      </rPr>
      <t>, alterar, eliminar e/ou apagar linhas</t>
    </r>
    <r>
      <rPr>
        <sz val="9"/>
        <color indexed="8"/>
        <rFont val="Arial"/>
        <family val="2"/>
      </rPr>
      <t>, colunas ou trechos bloqueados do modelo invalidam esses documento</t>
    </r>
    <r>
      <rPr>
        <b/>
        <sz val="9"/>
        <color indexed="8"/>
        <rFont val="Arial"/>
        <family val="2"/>
      </rPr>
      <t xml:space="preserve">, </t>
    </r>
    <r>
      <rPr>
        <sz val="9"/>
        <color indexed="8"/>
        <rFont val="Arial"/>
        <family val="2"/>
      </rPr>
      <t>podendo gerar</t>
    </r>
    <r>
      <rPr>
        <b/>
        <sz val="9"/>
        <color indexed="8"/>
        <rFont val="Arial"/>
        <family val="2"/>
      </rPr>
      <t xml:space="preserve"> atraso na liberação</t>
    </r>
    <r>
      <rPr>
        <sz val="9"/>
        <color indexed="8"/>
        <rFont val="Arial"/>
        <family val="2"/>
      </rPr>
      <t>.</t>
    </r>
  </si>
  <si>
    <t>Mensurado Acumulado Atual</t>
  </si>
  <si>
    <t>Responsável Técnico pela Execução da Obra</t>
  </si>
  <si>
    <r>
      <rPr>
        <b/>
        <sz val="9"/>
        <rFont val="Arial"/>
        <family val="2"/>
      </rPr>
      <t>Todos os campos em roxo claro e os campos de "IDENTIFICAÇÃO" precisam estar preenchidos.</t>
    </r>
    <r>
      <rPr>
        <sz val="9"/>
        <rFont val="Arial"/>
        <family val="2"/>
      </rPr>
      <t xml:space="preserve"> A ausência dessas informações, bem como a ausência das assinaturas do proponente e do Responsável Técnico pela execução da obra invalidam esse documento.</t>
    </r>
  </si>
  <si>
    <r>
      <rPr>
        <b/>
        <sz val="9"/>
        <rFont val="Arial"/>
        <family val="2"/>
      </rPr>
      <t>Este arquivo foi protegido com senha</t>
    </r>
    <r>
      <rPr>
        <sz val="9"/>
        <rFont val="Arial"/>
        <family val="2"/>
      </rPr>
      <t xml:space="preserve">, para evitar quaisquer erros, oriundos de distração, mal uso ou mesmo má fé. </t>
    </r>
    <r>
      <rPr>
        <b/>
        <sz val="9"/>
        <rFont val="Arial"/>
        <family val="2"/>
      </rPr>
      <t xml:space="preserve">Só devem ser preenchidos os campos em roxo claro. </t>
    </r>
    <r>
      <rPr>
        <sz val="9"/>
        <rFont val="Arial"/>
        <family val="2"/>
      </rPr>
      <t xml:space="preserve"> Alterar, eliminar e/ou apagar linhas, colunas ou trechos bloqueados do modelo invalidam esses documento.</t>
    </r>
  </si>
  <si>
    <t>Cronograma Proposto</t>
  </si>
  <si>
    <t>Motivo/Justificativas do Pedido de Reprogramação do Cronograma</t>
  </si>
  <si>
    <t>Conv:Steel Framing</t>
  </si>
  <si>
    <t>Conv:Wood Framing</t>
  </si>
  <si>
    <t>Conv:Vedação Painel leve modular_NBR 17073</t>
  </si>
  <si>
    <t>Inov:Parede moldada local c/componente de EPS</t>
  </si>
  <si>
    <t>Inov:Parede com blocos de EPS</t>
  </si>
  <si>
    <t>DATec válido (podem ser consultados no seguinte endereço: https://pbqp-h.mdr.gov.br/tipo-documento/datecs/);
Termo de Ciência e responsabilidade de Manutenção - MO41235; 
Termo de Compromisso e Garantia - Unidade Isolada - MO41234;
Termo de Cessão de Tecnologia (caso o construtor não seja o detentor do sistema);
ART/RRT de Projeto Arquitetônico; 
ART/RRT de Projeto Estrutural (apenas se a inovação envolver a estrutura da unidade); 
ART/RRT de Execução;
Projetos e Especificações;
Manual do Proprietário - Condições de manutenção;
Plano de Monitoramento da obra.</t>
  </si>
  <si>
    <t>São verídicas as informações aqui prestadas e que elas correspondem fielmente à atual situação da obra;
Estão CIENTES de que eventuais irregularidades, identificadas no acompanhamento da obra, sujeitam ambos à inclusão no Cadastro  Informativo de Pessoas Físicas e Jurídicas com relacionamento com a CAIXA – CONRES;
O Imóvel atende aos itens e condições mínimas exigidas pela CAIXA, conforme Cartilha PF;
O projeto aprovado segue todas as normas técnicas vigentes e aplicáveis e será apresentado até a primeira liberação de recursos; 
A placa de obra será fixada, conforme modelo estabelecido pela CAIXA;
O projeto, quando proposta Finalidade Residencial, possui destinação residencial unifamiliar e não faz parte de empreendimento.</t>
  </si>
  <si>
    <r>
      <rPr>
        <b/>
        <sz val="9"/>
        <rFont val="Arial"/>
        <family val="2"/>
      </rPr>
      <t>Apresentação fotográfica mínima</t>
    </r>
    <r>
      <rPr>
        <sz val="9"/>
        <rFont val="Arial"/>
        <family val="2"/>
      </rPr>
      <t xml:space="preserve">: conter  no  </t>
    </r>
    <r>
      <rPr>
        <b/>
        <sz val="9"/>
        <rFont val="Arial"/>
        <family val="2"/>
      </rPr>
      <t>mínimo  12 (doze) fotografias</t>
    </r>
    <r>
      <rPr>
        <sz val="9"/>
        <rFont val="Arial"/>
        <family val="2"/>
      </rPr>
      <t>, coloridas e georreferenciadas,que bem evidenciem os serviços realizados na etapa e que deverão ser aferidos, sendo obrigatório que ao menos uma delas comprove a aplicação em local visível do adesivo de obras. Para  a  fase  de  serviços  preliminares  e  fundações  o  total  de  fotos  pode  ser  reduzido  para  o  mínimo  de  6 (seis), desde que se visualize a execução completa dos serviços, o logradouro, o terreno e o adesivo/placa de obra. Ver instruções na</t>
    </r>
    <r>
      <rPr>
        <b/>
        <sz val="9"/>
        <rFont val="Arial"/>
        <family val="2"/>
      </rPr>
      <t xml:space="preserve"> Cartilha Habitação PF</t>
    </r>
    <r>
      <rPr>
        <sz val="9"/>
        <rFont val="Arial"/>
        <family val="2"/>
      </rPr>
      <t>.</t>
    </r>
  </si>
  <si>
    <t>Mês</t>
  </si>
  <si>
    <t>Em caso de dúvidas, solicite outro formulário original à sua Agência/SR/CCA de atendimento.</t>
  </si>
  <si>
    <r>
      <t xml:space="preserve">Todos os campos em roxo claro e os campos de "IDENTIFICAÇÃO" precisam estar preenchidos. </t>
    </r>
    <r>
      <rPr>
        <b/>
        <sz val="9"/>
        <color rgb="FFFF0000"/>
        <rFont val="Arial"/>
        <family val="2"/>
      </rPr>
      <t>A ausência dessas informações, bem como a ausência das assinaturas do proponente e do Responsável Técnico pela execução da obra invalidam esse documento</t>
    </r>
    <r>
      <rPr>
        <sz val="9"/>
        <rFont val="Arial"/>
        <family val="2"/>
      </rPr>
      <t>.</t>
    </r>
  </si>
  <si>
    <r>
      <t xml:space="preserve">Este arquivo foi protegido com senha para evitar erros oriundos de distração, mal uso ou mesmo má fé. Só devem ser preenchidos os campos em roxo claro.  Este modelo consolida a sua proposta de financiamento, qualquer </t>
    </r>
    <r>
      <rPr>
        <b/>
        <sz val="9"/>
        <color rgb="FFFF0000"/>
        <rFont val="Arial"/>
        <family val="2"/>
      </rPr>
      <t>alteração indevida poderá invalidá-la ou resultar em resultar em negativa de financiamento</t>
    </r>
    <r>
      <rPr>
        <b/>
        <sz val="9"/>
        <rFont val="Arial"/>
        <family val="2"/>
      </rPr>
      <t>.</t>
    </r>
  </si>
  <si>
    <r>
      <t xml:space="preserve">No caso de propostas para financiamento de </t>
    </r>
    <r>
      <rPr>
        <b/>
        <sz val="9"/>
        <rFont val="Arial"/>
        <family val="2"/>
      </rPr>
      <t xml:space="preserve">unidades isoladas com </t>
    </r>
    <r>
      <rPr>
        <b/>
        <sz val="9"/>
        <color rgb="FFFF0000"/>
        <rFont val="Arial"/>
        <family val="2"/>
      </rPr>
      <t>finalidade Residencial</t>
    </r>
    <r>
      <rPr>
        <b/>
        <sz val="9"/>
        <rFont val="Arial"/>
        <family val="2"/>
      </rPr>
      <t xml:space="preserve">, </t>
    </r>
    <r>
      <rPr>
        <b/>
        <sz val="9"/>
        <color rgb="FFFF0000"/>
        <rFont val="Arial"/>
        <family val="2"/>
      </rPr>
      <t>não serão aceitas</t>
    </r>
    <r>
      <rPr>
        <b/>
        <sz val="9"/>
        <rFont val="Arial"/>
        <family val="2"/>
      </rPr>
      <t xml:space="preserve"> as propostas que </t>
    </r>
    <r>
      <rPr>
        <b/>
        <sz val="9"/>
        <color rgb="FFFF0000"/>
        <rFont val="Arial"/>
        <family val="2"/>
      </rPr>
      <t>componham empreendimentos ou de uso misto</t>
    </r>
    <r>
      <rPr>
        <b/>
        <sz val="9"/>
        <rFont val="Arial"/>
        <family val="2"/>
      </rPr>
      <t xml:space="preserve"> (resicenial e comercial)</t>
    </r>
    <r>
      <rPr>
        <sz val="9"/>
        <rFont val="Arial"/>
        <family val="2"/>
      </rPr>
      <t>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</si>
</sst>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8" formatCode="&quot;R$&quot;\ #,##0.00;[Red]\-&quot;R$&quot;\ #,##0.00"/>
    <numFmt numFmtId="43" formatCode="_-* #,##0.00_-;\-* #,##0.00_-;_-* &quot;-&quot;??_-;_-@_-"/>
    <numFmt numFmtId="164" formatCode=";;;"/>
    <numFmt numFmtId="165" formatCode="0.0"/>
    <numFmt numFmtId="166" formatCode="&quot;R$&quot;\ #,##0.00"/>
    <numFmt numFmtId="167" formatCode="dd/mm/yy;@"/>
    <numFmt numFmtId="168" formatCode="00"/>
    <numFmt numFmtId="169" formatCode="#####\-####"/>
    <numFmt numFmtId="170" formatCode="0000"/>
    <numFmt numFmtId="171" formatCode="000&quot;.&quot;000&quot;.&quot;000&quot;-&quot;00"/>
    <numFmt numFmtId="172" formatCode="00000\-000"/>
    <numFmt numFmtId="173" formatCode="0.00&quot;%&quot;"/>
    <numFmt numFmtId="174" formatCode="00&quot;.&quot;000&quot;.&quot;000&quot;/&quot;0000&quot;-&quot;00"/>
    <numFmt numFmtId="175" formatCode="0.0000"/>
    <numFmt numFmtId="176" formatCode="00&quot;°&quot;\ 00\'\ 00\'\'"/>
    <numFmt numFmtId="177" formatCode="#,##0.00_ ;\-#,##0.00\ "/>
    <numFmt numFmtId="178" formatCode="_-* #,##0_-;\-* #,##0_-;_-* &quot;-&quot;??_-;_-@_-"/>
    <numFmt numFmtId="179" formatCode="0_ ;[Red]\-0\ "/>
  </numFmts>
  <fonts count="58" x14ac:knownFonts="1">
    <font>
      <sz val="10"/>
      <name val="Arial"/>
    </font>
    <font>
      <sz val="10"/>
      <name val="Arial"/>
      <family val="2"/>
    </font>
    <font>
      <sz val="11"/>
      <name val="Arial"/>
      <family val="2"/>
    </font>
    <font>
      <sz val="8"/>
      <color indexed="10"/>
      <name val="Arial"/>
      <family val="2"/>
    </font>
    <font>
      <sz val="10"/>
      <color indexed="10"/>
      <name val="Arial"/>
      <family val="2"/>
    </font>
    <font>
      <sz val="8"/>
      <name val="Arial"/>
      <family val="2"/>
    </font>
    <font>
      <b/>
      <sz val="12"/>
      <name val="Trebuchet MS"/>
      <family val="2"/>
    </font>
    <font>
      <sz val="10"/>
      <name val="Arial"/>
      <family val="2"/>
    </font>
    <font>
      <sz val="10"/>
      <name val="Trebuchet MS"/>
      <family val="2"/>
    </font>
    <font>
      <sz val="6"/>
      <name val="Arial"/>
      <family val="2"/>
    </font>
    <font>
      <sz val="9"/>
      <name val="Arial"/>
      <family val="2"/>
    </font>
    <font>
      <b/>
      <sz val="8"/>
      <name val="Trebuchet MS"/>
      <family val="2"/>
    </font>
    <font>
      <b/>
      <sz val="6"/>
      <name val="Arial"/>
      <family val="2"/>
    </font>
    <font>
      <b/>
      <sz val="9"/>
      <name val="Arial"/>
      <family val="2"/>
    </font>
    <font>
      <b/>
      <sz val="7"/>
      <name val="Arial"/>
      <family val="2"/>
    </font>
    <font>
      <sz val="7"/>
      <name val="Arial"/>
      <family val="2"/>
    </font>
    <font>
      <b/>
      <sz val="11"/>
      <name val="Trebuchet MS"/>
      <family val="2"/>
    </font>
    <font>
      <sz val="9"/>
      <name val="Trebuchet MS"/>
      <family val="2"/>
    </font>
    <font>
      <b/>
      <sz val="9"/>
      <color indexed="9"/>
      <name val="Arial"/>
      <family val="2"/>
    </font>
    <font>
      <b/>
      <sz val="8"/>
      <name val="Arial"/>
      <family val="2"/>
    </font>
    <font>
      <sz val="9"/>
      <color indexed="10"/>
      <name val="Arial"/>
      <family val="2"/>
    </font>
    <font>
      <b/>
      <sz val="9"/>
      <color indexed="10"/>
      <name val="Arial"/>
      <family val="2"/>
    </font>
    <font>
      <sz val="6.5"/>
      <name val="Arial"/>
      <family val="2"/>
    </font>
    <font>
      <sz val="9"/>
      <color indexed="81"/>
      <name val="Segoe UI"/>
      <family val="2"/>
    </font>
    <font>
      <b/>
      <sz val="10"/>
      <name val="Arial"/>
      <family val="2"/>
    </font>
    <font>
      <b/>
      <sz val="9"/>
      <color indexed="60"/>
      <name val="Arial"/>
      <family val="2"/>
    </font>
    <font>
      <b/>
      <sz val="9"/>
      <color indexed="81"/>
      <name val="Segoe UI"/>
      <family val="2"/>
    </font>
    <font>
      <b/>
      <sz val="9"/>
      <color indexed="8"/>
      <name val="Calibri"/>
      <family val="2"/>
    </font>
    <font>
      <sz val="9"/>
      <name val="Calibri"/>
      <family val="2"/>
    </font>
    <font>
      <sz val="10"/>
      <color indexed="8"/>
      <name val="Calibri"/>
      <family val="2"/>
    </font>
    <font>
      <sz val="8"/>
      <color indexed="8"/>
      <name val="Arial"/>
      <family val="2"/>
    </font>
    <font>
      <b/>
      <sz val="7"/>
      <color indexed="8"/>
      <name val="Arial"/>
      <family val="2"/>
    </font>
    <font>
      <sz val="7"/>
      <color indexed="8"/>
      <name val="Arial"/>
      <family val="2"/>
    </font>
    <font>
      <b/>
      <sz val="6"/>
      <color indexed="8"/>
      <name val="Arial"/>
      <family val="2"/>
    </font>
    <font>
      <b/>
      <sz val="9"/>
      <name val="Calibri"/>
      <family val="2"/>
    </font>
    <font>
      <b/>
      <sz val="7"/>
      <color indexed="8"/>
      <name val="Arial"/>
      <family val="1"/>
    </font>
    <font>
      <sz val="10"/>
      <color indexed="45"/>
      <name val="Arial"/>
      <family val="2"/>
    </font>
    <font>
      <sz val="9"/>
      <color indexed="8"/>
      <name val="Calibri"/>
      <family val="2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sz val="10"/>
      <color theme="0"/>
      <name val="Arial"/>
      <family val="2"/>
    </font>
    <font>
      <sz val="8"/>
      <color theme="1"/>
      <name val="Calibri"/>
      <family val="2"/>
      <scheme val="minor"/>
    </font>
    <font>
      <sz val="2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7"/>
      <color theme="5" tint="-0.249977111117893"/>
      <name val="Arial"/>
      <family val="2"/>
    </font>
    <font>
      <b/>
      <sz val="6"/>
      <color rgb="FFFF0000"/>
      <name val="Arial"/>
      <family val="2"/>
    </font>
    <font>
      <b/>
      <sz val="7"/>
      <color rgb="FFFF0000"/>
      <name val="Arial"/>
      <family val="2"/>
    </font>
    <font>
      <sz val="7"/>
      <color theme="0"/>
      <name val="Arial"/>
      <family val="2"/>
    </font>
    <font>
      <b/>
      <sz val="8"/>
      <color theme="0"/>
      <name val="Arial"/>
      <family val="2"/>
    </font>
    <font>
      <b/>
      <sz val="8"/>
      <color theme="5"/>
      <name val="Arial"/>
      <family val="2"/>
    </font>
    <font>
      <b/>
      <sz val="9"/>
      <color rgb="FFFF000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lightDown">
        <fgColor indexed="44"/>
      </patternFill>
    </fill>
    <fill>
      <patternFill patternType="solid">
        <fgColor indexed="3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0"/>
        <bgColor indexed="64"/>
      </patternFill>
    </fill>
    <fill>
      <patternFill patternType="lightDown"/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9CC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39997558519241921"/>
        <bgColor indexed="64"/>
      </patternFill>
    </fill>
  </fills>
  <borders count="203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 style="medium">
        <color indexed="12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55"/>
      </top>
      <bottom style="medium">
        <color indexed="55"/>
      </bottom>
      <diagonal/>
    </border>
    <border>
      <left/>
      <right style="medium">
        <color indexed="55"/>
      </right>
      <top style="thin">
        <color indexed="55"/>
      </top>
      <bottom style="medium">
        <color indexed="55"/>
      </bottom>
      <diagonal/>
    </border>
    <border>
      <left/>
      <right style="thin">
        <color indexed="22"/>
      </right>
      <top style="thin">
        <color indexed="22"/>
      </top>
      <bottom/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52"/>
      </left>
      <right style="thin">
        <color indexed="52"/>
      </right>
      <top style="thin">
        <color indexed="52"/>
      </top>
      <bottom style="thin">
        <color indexed="5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22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2"/>
      </left>
      <right/>
      <top style="thin">
        <color indexed="52"/>
      </top>
      <bottom style="thin">
        <color indexed="52"/>
      </bottom>
      <diagonal/>
    </border>
    <border>
      <left/>
      <right/>
      <top style="thin">
        <color indexed="52"/>
      </top>
      <bottom style="thin">
        <color indexed="52"/>
      </bottom>
      <diagonal/>
    </border>
    <border>
      <left/>
      <right style="thin">
        <color indexed="52"/>
      </right>
      <top style="thin">
        <color indexed="52"/>
      </top>
      <bottom style="thin">
        <color indexed="5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 style="thin">
        <color indexed="52"/>
      </left>
      <right style="thin">
        <color indexed="64"/>
      </right>
      <top style="thin">
        <color indexed="52"/>
      </top>
      <bottom style="thin">
        <color indexed="52"/>
      </bottom>
      <diagonal/>
    </border>
    <border>
      <left style="thin">
        <color indexed="64"/>
      </left>
      <right style="thin">
        <color indexed="52"/>
      </right>
      <top style="thin">
        <color indexed="52"/>
      </top>
      <bottom style="thin">
        <color indexed="52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52"/>
      </left>
      <right/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/>
      <diagonal/>
    </border>
    <border>
      <left/>
      <right/>
      <top/>
      <bottom style="thin">
        <color indexed="52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indexed="64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rgb="FFDDDDDD"/>
      </left>
      <right style="thin">
        <color rgb="FFDDDDDD"/>
      </right>
      <top/>
      <bottom style="thin">
        <color rgb="FFDDDDDD"/>
      </bottom>
      <diagonal/>
    </border>
    <border>
      <left style="dotted">
        <color theme="1" tint="0.499984740745262"/>
      </left>
      <right style="dotted">
        <color theme="1" tint="0.499984740745262"/>
      </right>
      <top style="dotted">
        <color theme="1" tint="0.499984740745262"/>
      </top>
      <bottom style="dotted">
        <color theme="1" tint="0.499984740745262"/>
      </bottom>
      <diagonal/>
    </border>
    <border>
      <left style="hair">
        <color theme="0"/>
      </left>
      <right/>
      <top/>
      <bottom/>
      <diagonal/>
    </border>
    <border>
      <left style="thin">
        <color rgb="FFCCCCFF"/>
      </left>
      <right style="thin">
        <color rgb="FFCCCCFF"/>
      </right>
      <top/>
      <bottom/>
      <diagonal/>
    </border>
    <border>
      <left style="thin">
        <color rgb="FFCCCCFF"/>
      </left>
      <right style="thin">
        <color rgb="FFCCCCFF"/>
      </right>
      <top style="thin">
        <color indexed="22"/>
      </top>
      <bottom/>
      <diagonal/>
    </border>
    <border>
      <left/>
      <right/>
      <top/>
      <bottom style="thin">
        <color theme="7" tint="0.79998168889431442"/>
      </bottom>
      <diagonal/>
    </border>
    <border>
      <left/>
      <right style="thin">
        <color theme="7" tint="0.79998168889431442"/>
      </right>
      <top/>
      <bottom/>
      <diagonal/>
    </border>
    <border>
      <left/>
      <right/>
      <top style="thin">
        <color theme="7" tint="0.79998168889431442"/>
      </top>
      <bottom/>
      <diagonal/>
    </border>
    <border>
      <left/>
      <right style="thin">
        <color rgb="FFFF9900"/>
      </right>
      <top style="thin">
        <color indexed="22"/>
      </top>
      <bottom style="thin">
        <color indexed="22"/>
      </bottom>
      <diagonal/>
    </border>
    <border>
      <left style="thin">
        <color rgb="FFDDDDDD"/>
      </left>
      <right style="thin">
        <color rgb="FFDDDDDD"/>
      </right>
      <top/>
      <bottom/>
      <diagonal/>
    </border>
    <border>
      <left/>
      <right style="thin">
        <color rgb="FFDDDDDD"/>
      </right>
      <top/>
      <bottom/>
      <diagonal/>
    </border>
    <border>
      <left style="thin">
        <color rgb="FFCCCCFF"/>
      </left>
      <right style="thin">
        <color rgb="FFCCCCFF"/>
      </right>
      <top style="hair">
        <color rgb="FFCCCCFF"/>
      </top>
      <bottom style="hair">
        <color rgb="FFCCCCFF"/>
      </bottom>
      <diagonal/>
    </border>
    <border>
      <left style="thin">
        <color rgb="FFCCCCFF"/>
      </left>
      <right style="thin">
        <color rgb="FFCCCCFF"/>
      </right>
      <top/>
      <bottom style="hair">
        <color rgb="FFCCCCFF"/>
      </bottom>
      <diagonal/>
    </border>
    <border>
      <left style="thin">
        <color rgb="FFCCCCFF"/>
      </left>
      <right/>
      <top/>
      <bottom style="hair">
        <color rgb="FFCCCCFF"/>
      </bottom>
      <diagonal/>
    </border>
    <border>
      <left style="thin">
        <color rgb="FFC0C0C0"/>
      </left>
      <right/>
      <top style="thin">
        <color indexed="52"/>
      </top>
      <bottom style="thin">
        <color indexed="52"/>
      </bottom>
      <diagonal/>
    </border>
    <border>
      <left/>
      <right/>
      <top style="thin">
        <color rgb="FFFF9900"/>
      </top>
      <bottom style="thin">
        <color indexed="52"/>
      </bottom>
      <diagonal/>
    </border>
    <border>
      <left/>
      <right style="thin">
        <color rgb="FFC0C0C0"/>
      </right>
      <top style="thin">
        <color indexed="52"/>
      </top>
      <bottom style="thin">
        <color indexed="52"/>
      </bottom>
      <diagonal/>
    </border>
    <border>
      <left/>
      <right/>
      <top style="thin">
        <color rgb="FFCCCCFF"/>
      </top>
      <bottom style="hair">
        <color rgb="FFCCCCFF"/>
      </bottom>
      <diagonal/>
    </border>
    <border>
      <left/>
      <right style="thin">
        <color rgb="FFCCCCFF"/>
      </right>
      <top style="thin">
        <color rgb="FFCCCCFF"/>
      </top>
      <bottom style="hair">
        <color rgb="FFCCCCFF"/>
      </bottom>
      <diagonal/>
    </border>
    <border>
      <left style="thin">
        <color rgb="FFCCCCFF"/>
      </left>
      <right/>
      <top style="thin">
        <color rgb="FFCCCCFF"/>
      </top>
      <bottom style="hair">
        <color rgb="FFCCCCFF"/>
      </bottom>
      <diagonal/>
    </border>
    <border>
      <left style="thin">
        <color rgb="FFCCCCFF"/>
      </left>
      <right/>
      <top style="hair">
        <color rgb="FFCCCCFF"/>
      </top>
      <bottom style="hair">
        <color rgb="FFCCCCFF"/>
      </bottom>
      <diagonal/>
    </border>
    <border>
      <left/>
      <right/>
      <top style="hair">
        <color rgb="FFCCCCFF"/>
      </top>
      <bottom style="hair">
        <color rgb="FFCCCCFF"/>
      </bottom>
      <diagonal/>
    </border>
    <border>
      <left/>
      <right style="thin">
        <color rgb="FFCCCCFF"/>
      </right>
      <top style="hair">
        <color rgb="FFCCCCFF"/>
      </top>
      <bottom style="hair">
        <color rgb="FFCCCCFF"/>
      </bottom>
      <diagonal/>
    </border>
    <border>
      <left style="thin">
        <color rgb="FFCCCCFF"/>
      </left>
      <right style="thin">
        <color rgb="FFCCCCFF"/>
      </right>
      <top style="thin">
        <color rgb="FFCCCCFF"/>
      </top>
      <bottom style="thin">
        <color rgb="FFCCCCFF"/>
      </bottom>
      <diagonal/>
    </border>
    <border>
      <left/>
      <right style="thin">
        <color theme="9"/>
      </right>
      <top style="thin">
        <color indexed="52"/>
      </top>
      <bottom style="thin">
        <color indexed="52"/>
      </bottom>
      <diagonal/>
    </border>
    <border>
      <left style="thin">
        <color rgb="FFCCCCFF"/>
      </left>
      <right/>
      <top style="thin">
        <color rgb="FFCCCCFF"/>
      </top>
      <bottom style="thin">
        <color rgb="FFCCCCFF"/>
      </bottom>
      <diagonal/>
    </border>
    <border>
      <left/>
      <right/>
      <top style="thin">
        <color rgb="FFCCCCFF"/>
      </top>
      <bottom style="thin">
        <color rgb="FFCCCCFF"/>
      </bottom>
      <diagonal/>
    </border>
    <border>
      <left/>
      <right style="thin">
        <color rgb="FFCCCCFF"/>
      </right>
      <top style="thin">
        <color rgb="FFCCCCFF"/>
      </top>
      <bottom style="thin">
        <color rgb="FFCCCCFF"/>
      </bottom>
      <diagonal/>
    </border>
    <border>
      <left style="thin">
        <color rgb="FFCCCCFF"/>
      </left>
      <right style="thin">
        <color rgb="FFCCCCFF"/>
      </right>
      <top style="thin">
        <color rgb="FFCCCCFF"/>
      </top>
      <bottom style="thin">
        <color theme="7" tint="0.59999389629810485"/>
      </bottom>
      <diagonal/>
    </border>
    <border>
      <left style="thin">
        <color rgb="FFCCCCFF"/>
      </left>
      <right style="thin">
        <color rgb="FFCCCCFF"/>
      </right>
      <top style="thin">
        <color rgb="FFCCCCFF"/>
      </top>
      <bottom style="hair">
        <color rgb="FFCCCCFF"/>
      </bottom>
      <diagonal/>
    </border>
    <border>
      <left style="thin">
        <color rgb="FFCCCCFF"/>
      </left>
      <right style="thin">
        <color rgb="FFCCCCFF"/>
      </right>
      <top/>
      <bottom style="thin">
        <color theme="7" tint="0.59999389629810485"/>
      </bottom>
      <diagonal/>
    </border>
    <border>
      <left/>
      <right style="thin">
        <color rgb="FFCCCCFF"/>
      </right>
      <top/>
      <bottom style="hair">
        <color rgb="FFCCCCFF"/>
      </bottom>
      <diagonal/>
    </border>
    <border>
      <left style="thin">
        <color rgb="FFCCCCFF"/>
      </left>
      <right style="thin">
        <color rgb="FFCCCCFF"/>
      </right>
      <top style="thin">
        <color rgb="FFCCCCFF"/>
      </top>
      <bottom/>
      <diagonal/>
    </border>
    <border>
      <left/>
      <right style="thin">
        <color rgb="FFCCCCFF"/>
      </right>
      <top style="hair">
        <color rgb="FFCCCCFF"/>
      </top>
      <bottom style="thin">
        <color rgb="FFCCCCFF"/>
      </bottom>
      <diagonal/>
    </border>
    <border>
      <left style="thin">
        <color rgb="FFCCCCFF"/>
      </left>
      <right style="thin">
        <color rgb="FFCCCCFF"/>
      </right>
      <top style="hair">
        <color rgb="FFCCCCFF"/>
      </top>
      <bottom style="thin">
        <color rgb="FFCCCCFF"/>
      </bottom>
      <diagonal/>
    </border>
    <border>
      <left style="thin">
        <color rgb="FFFF9900"/>
      </left>
      <right/>
      <top style="thin">
        <color rgb="FFFF9900"/>
      </top>
      <bottom style="thin">
        <color rgb="FFFF9900"/>
      </bottom>
      <diagonal/>
    </border>
    <border>
      <left/>
      <right/>
      <top style="thin">
        <color rgb="FFFF9900"/>
      </top>
      <bottom style="thin">
        <color rgb="FFFF9900"/>
      </bottom>
      <diagonal/>
    </border>
    <border>
      <left/>
      <right style="thin">
        <color rgb="FFFF9900"/>
      </right>
      <top style="thin">
        <color rgb="FFFF9900"/>
      </top>
      <bottom style="thin">
        <color rgb="FFFF9900"/>
      </bottom>
      <diagonal/>
    </border>
    <border>
      <left/>
      <right/>
      <top/>
      <bottom style="thin">
        <color rgb="FFB2C0BE"/>
      </bottom>
      <diagonal/>
    </border>
    <border>
      <left/>
      <right style="thin">
        <color rgb="FFB2C0BE"/>
      </right>
      <top/>
      <bottom style="thin">
        <color rgb="FFB2C0BE"/>
      </bottom>
      <diagonal/>
    </border>
    <border>
      <left style="thin">
        <color indexed="22"/>
      </left>
      <right/>
      <top/>
      <bottom style="thin">
        <color theme="7" tint="0.79998168889431442"/>
      </bottom>
      <diagonal/>
    </border>
    <border>
      <left/>
      <right style="thin">
        <color indexed="22"/>
      </right>
      <top/>
      <bottom style="thin">
        <color theme="7" tint="0.79998168889431442"/>
      </bottom>
      <diagonal/>
    </border>
    <border>
      <left/>
      <right style="thin">
        <color rgb="FFC0C0C0"/>
      </right>
      <top/>
      <bottom style="thin">
        <color theme="7" tint="0.79998168889431442"/>
      </bottom>
      <diagonal/>
    </border>
    <border>
      <left style="thin">
        <color rgb="FFC0C0C0"/>
      </left>
      <right/>
      <top style="thin">
        <color rgb="FFC0C0C0"/>
      </top>
      <bottom style="thin">
        <color indexed="52"/>
      </bottom>
      <diagonal/>
    </border>
    <border>
      <left/>
      <right/>
      <top style="thin">
        <color rgb="FFC0C0C0"/>
      </top>
      <bottom style="thin">
        <color indexed="52"/>
      </bottom>
      <diagonal/>
    </border>
    <border>
      <left/>
      <right style="thin">
        <color rgb="FFC0C0C0"/>
      </right>
      <top style="thin">
        <color rgb="FFC0C0C0"/>
      </top>
      <bottom style="thin">
        <color indexed="52"/>
      </bottom>
      <diagonal/>
    </border>
    <border>
      <left style="thin">
        <color theme="7" tint="0.79998168889431442"/>
      </left>
      <right/>
      <top style="thin">
        <color theme="7" tint="0.79998168889431442"/>
      </top>
      <bottom style="thin">
        <color theme="7" tint="0.79998168889431442"/>
      </bottom>
      <diagonal/>
    </border>
    <border>
      <left/>
      <right/>
      <top style="thin">
        <color theme="7" tint="0.79998168889431442"/>
      </top>
      <bottom style="thin">
        <color theme="7" tint="0.79998168889431442"/>
      </bottom>
      <diagonal/>
    </border>
    <border>
      <left/>
      <right style="thin">
        <color theme="7" tint="0.79998168889431442"/>
      </right>
      <top style="thin">
        <color theme="7" tint="0.79998168889431442"/>
      </top>
      <bottom style="thin">
        <color theme="7" tint="0.79998168889431442"/>
      </bottom>
      <diagonal/>
    </border>
    <border>
      <left/>
      <right style="thin">
        <color rgb="FFFF9900"/>
      </right>
      <top style="thin">
        <color theme="7" tint="0.79998168889431442"/>
      </top>
      <bottom style="thin">
        <color theme="7" tint="0.79998168889431442"/>
      </bottom>
      <diagonal/>
    </border>
    <border>
      <left style="thin">
        <color theme="7" tint="0.79998168889431442"/>
      </left>
      <right/>
      <top style="thin">
        <color theme="7" tint="0.79998168889431442"/>
      </top>
      <bottom/>
      <diagonal/>
    </border>
    <border>
      <left style="thin">
        <color theme="7" tint="0.79998168889431442"/>
      </left>
      <right/>
      <top/>
      <bottom style="thin">
        <color theme="7" tint="0.79998168889431442"/>
      </bottom>
      <diagonal/>
    </border>
    <border>
      <left style="thin">
        <color theme="9"/>
      </left>
      <right/>
      <top style="thin">
        <color theme="9"/>
      </top>
      <bottom/>
      <diagonal/>
    </border>
    <border>
      <left/>
      <right/>
      <top style="thin">
        <color theme="9"/>
      </top>
      <bottom/>
      <diagonal/>
    </border>
    <border>
      <left/>
      <right style="thin">
        <color theme="9"/>
      </right>
      <top style="thin">
        <color theme="9"/>
      </top>
      <bottom/>
      <diagonal/>
    </border>
    <border>
      <left style="thin">
        <color theme="9"/>
      </left>
      <right/>
      <top/>
      <bottom style="thin">
        <color theme="9"/>
      </bottom>
      <diagonal/>
    </border>
    <border>
      <left/>
      <right/>
      <top/>
      <bottom style="thin">
        <color theme="9"/>
      </bottom>
      <diagonal/>
    </border>
    <border>
      <left/>
      <right style="thin">
        <color theme="9"/>
      </right>
      <top/>
      <bottom style="thin">
        <color theme="9"/>
      </bottom>
      <diagonal/>
    </border>
    <border>
      <left style="thin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thin">
        <color rgb="FFFF9900"/>
      </left>
      <right style="thin">
        <color indexed="64"/>
      </right>
      <top style="thin">
        <color rgb="FFFF9900"/>
      </top>
      <bottom style="thin">
        <color rgb="FFFF9900"/>
      </bottom>
      <diagonal/>
    </border>
    <border>
      <left style="thin">
        <color indexed="64"/>
      </left>
      <right style="thin">
        <color indexed="64"/>
      </right>
      <top style="thin">
        <color rgb="FFFF9900"/>
      </top>
      <bottom style="thin">
        <color rgb="FFFF9900"/>
      </bottom>
      <diagonal/>
    </border>
    <border>
      <left style="thin">
        <color indexed="64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/>
      <right style="thin">
        <color rgb="FFDDDDDD"/>
      </right>
      <top style="thin">
        <color indexed="22"/>
      </top>
      <bottom/>
      <diagonal/>
    </border>
    <border>
      <left style="thin">
        <color rgb="FFCCCCFF"/>
      </left>
      <right/>
      <top style="thin">
        <color indexed="22"/>
      </top>
      <bottom style="thin">
        <color indexed="22"/>
      </bottom>
      <diagonal/>
    </border>
    <border>
      <left/>
      <right style="thin">
        <color rgb="FFDDDDDD"/>
      </right>
      <top style="thin">
        <color indexed="22"/>
      </top>
      <bottom style="thin">
        <color indexed="22"/>
      </bottom>
      <diagonal/>
    </border>
    <border>
      <left style="thin">
        <color rgb="FFCCCCFF"/>
      </left>
      <right style="thin">
        <color rgb="FFCCCCFF"/>
      </right>
      <top/>
      <bottom style="thin">
        <color rgb="FFCCCCFF"/>
      </bottom>
      <diagonal/>
    </border>
    <border>
      <left style="thin">
        <color rgb="FFC0C0C0"/>
      </left>
      <right/>
      <top style="thin">
        <color rgb="FFFF9900"/>
      </top>
      <bottom style="thin">
        <color indexed="22"/>
      </bottom>
      <diagonal/>
    </border>
    <border>
      <left/>
      <right/>
      <top style="thin">
        <color rgb="FFFF9900"/>
      </top>
      <bottom style="thin">
        <color indexed="22"/>
      </bottom>
      <diagonal/>
    </border>
    <border>
      <left/>
      <right style="thin">
        <color indexed="22"/>
      </right>
      <top style="thin">
        <color rgb="FFFF9900"/>
      </top>
      <bottom style="thin">
        <color indexed="22"/>
      </bottom>
      <diagonal/>
    </border>
    <border>
      <left style="thin">
        <color rgb="FFC0C0C0"/>
      </left>
      <right style="thin">
        <color rgb="FFCCCCFF"/>
      </right>
      <top style="thin">
        <color rgb="FFC0C0C0"/>
      </top>
      <bottom style="thin">
        <color rgb="FFC0C0C0"/>
      </bottom>
      <diagonal/>
    </border>
    <border>
      <left/>
      <right/>
      <top style="thin">
        <color rgb="FFC0C0C0"/>
      </top>
      <bottom style="thin">
        <color rgb="FFC0C0C0"/>
      </bottom>
      <diagonal/>
    </border>
    <border>
      <left style="thin">
        <color rgb="FFCCCCFF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 style="thin">
        <color rgb="FFCCCCFF"/>
      </left>
      <right/>
      <top/>
      <bottom style="thin">
        <color rgb="FFCCCCFF"/>
      </bottom>
      <diagonal/>
    </border>
    <border>
      <left/>
      <right/>
      <top/>
      <bottom style="thin">
        <color rgb="FFCCCCFF"/>
      </bottom>
      <diagonal/>
    </border>
    <border>
      <left/>
      <right style="thin">
        <color rgb="FFCCCCFF"/>
      </right>
      <top/>
      <bottom style="thin">
        <color rgb="FFCCCCFF"/>
      </bottom>
      <diagonal/>
    </border>
    <border>
      <left style="thin">
        <color rgb="FFCCCCFF"/>
      </left>
      <right/>
      <top style="hair">
        <color rgb="FFCCCCFF"/>
      </top>
      <bottom style="thin">
        <color indexed="22"/>
      </bottom>
      <diagonal/>
    </border>
    <border>
      <left/>
      <right/>
      <top style="hair">
        <color rgb="FFCCCCFF"/>
      </top>
      <bottom style="thin">
        <color indexed="22"/>
      </bottom>
      <diagonal/>
    </border>
    <border>
      <left/>
      <right style="thin">
        <color rgb="FFCCCCFF"/>
      </right>
      <top style="hair">
        <color rgb="FFCCCCFF"/>
      </top>
      <bottom style="thin">
        <color indexed="22"/>
      </bottom>
      <diagonal/>
    </border>
    <border>
      <left/>
      <right style="thin">
        <color rgb="FFDDDDDD"/>
      </right>
      <top style="hair">
        <color rgb="FFCCCCFF"/>
      </top>
      <bottom style="hair">
        <color rgb="FFCCCCFF"/>
      </bottom>
      <diagonal/>
    </border>
    <border>
      <left style="thin">
        <color rgb="FFCCCCFF"/>
      </left>
      <right/>
      <top style="hair">
        <color rgb="FFCCCCFF"/>
      </top>
      <bottom/>
      <diagonal/>
    </border>
    <border>
      <left/>
      <right/>
      <top style="hair">
        <color rgb="FFCCCCFF"/>
      </top>
      <bottom/>
      <diagonal/>
    </border>
    <border>
      <left/>
      <right style="thin">
        <color rgb="FFCCCCFF"/>
      </right>
      <top style="hair">
        <color rgb="FFCCCCFF"/>
      </top>
      <bottom/>
      <diagonal/>
    </border>
    <border>
      <left style="thin">
        <color rgb="FFCCCCFF"/>
      </left>
      <right style="thin">
        <color rgb="FFDDDDDD"/>
      </right>
      <top style="hair">
        <color rgb="FFCCCCFF"/>
      </top>
      <bottom style="hair">
        <color rgb="FFCCCCFF"/>
      </bottom>
      <diagonal/>
    </border>
    <border>
      <left style="thin">
        <color rgb="FFDDDDDD"/>
      </left>
      <right style="thin">
        <color rgb="FFDDDDDD"/>
      </right>
      <top style="hair">
        <color rgb="FFCCCCFF"/>
      </top>
      <bottom style="hair">
        <color rgb="FFCCCCFF"/>
      </bottom>
      <diagonal/>
    </border>
    <border>
      <left style="thin">
        <color rgb="FFCCCCFF"/>
      </left>
      <right/>
      <top style="thin">
        <color rgb="FFCCCCFF"/>
      </top>
      <bottom/>
      <diagonal/>
    </border>
    <border>
      <left/>
      <right/>
      <top style="thin">
        <color rgb="FFCCCCFF"/>
      </top>
      <bottom/>
      <diagonal/>
    </border>
    <border>
      <left/>
      <right style="thin">
        <color rgb="FFCCCCFF"/>
      </right>
      <top style="thin">
        <color rgb="FFCCCCFF"/>
      </top>
      <bottom/>
      <diagonal/>
    </border>
    <border>
      <left style="thin">
        <color rgb="FFCCCCFF"/>
      </left>
      <right/>
      <top/>
      <bottom/>
      <diagonal/>
    </border>
    <border>
      <left/>
      <right style="thin">
        <color rgb="FFCCCCFF"/>
      </right>
      <top/>
      <bottom/>
      <diagonal/>
    </border>
    <border>
      <left/>
      <right style="thin">
        <color rgb="FFC0C0C0"/>
      </right>
      <top style="thin">
        <color indexed="22"/>
      </top>
      <bottom style="thin">
        <color indexed="22"/>
      </bottom>
      <diagonal/>
    </border>
    <border>
      <left style="thin">
        <color rgb="FFFF9900"/>
      </left>
      <right/>
      <top style="thin">
        <color indexed="52"/>
      </top>
      <bottom style="thin">
        <color rgb="FFFF9900"/>
      </bottom>
      <diagonal/>
    </border>
    <border>
      <left/>
      <right/>
      <top style="thin">
        <color indexed="52"/>
      </top>
      <bottom style="thin">
        <color rgb="FFFF9900"/>
      </bottom>
      <diagonal/>
    </border>
    <border>
      <left/>
      <right style="thin">
        <color rgb="FFFF9900"/>
      </right>
      <top style="thin">
        <color indexed="52"/>
      </top>
      <bottom style="thin">
        <color rgb="FFFF9900"/>
      </bottom>
      <diagonal/>
    </border>
    <border>
      <left style="thin">
        <color rgb="FFC0C0C0"/>
      </left>
      <right/>
      <top style="thin">
        <color rgb="FFFF9900"/>
      </top>
      <bottom style="thin">
        <color indexed="52"/>
      </bottom>
      <diagonal/>
    </border>
    <border>
      <left/>
      <right style="thin">
        <color rgb="FFC0C0C0"/>
      </right>
      <top style="thin">
        <color rgb="FFFF9900"/>
      </top>
      <bottom style="thin">
        <color indexed="52"/>
      </bottom>
      <diagonal/>
    </border>
    <border>
      <left style="thin">
        <color rgb="FFC0C0C0"/>
      </left>
      <right/>
      <top/>
      <bottom style="thin">
        <color indexed="52"/>
      </bottom>
      <diagonal/>
    </border>
    <border>
      <left/>
      <right style="thin">
        <color rgb="FFC0C0C0"/>
      </right>
      <top/>
      <bottom style="thin">
        <color indexed="52"/>
      </bottom>
      <diagonal/>
    </border>
    <border>
      <left/>
      <right style="thin">
        <color rgb="FFDDDDDD"/>
      </right>
      <top style="hair">
        <color rgb="FFCCCCFF"/>
      </top>
      <bottom style="thin">
        <color indexed="22"/>
      </bottom>
      <diagonal/>
    </border>
    <border>
      <left style="thin">
        <color rgb="FFCCCCFF"/>
      </left>
      <right/>
      <top style="thin">
        <color indexed="52"/>
      </top>
      <bottom style="thin">
        <color rgb="FFCCCCFF"/>
      </bottom>
      <diagonal/>
    </border>
    <border>
      <left/>
      <right/>
      <top style="thin">
        <color indexed="52"/>
      </top>
      <bottom style="thin">
        <color rgb="FFCCCCFF"/>
      </bottom>
      <diagonal/>
    </border>
    <border>
      <left/>
      <right style="thin">
        <color rgb="FFCCCCFF"/>
      </right>
      <top style="thin">
        <color indexed="52"/>
      </top>
      <bottom style="thin">
        <color rgb="FFCCCCFF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/>
      <right style="thin">
        <color rgb="FFC0C0C0"/>
      </right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 style="thin">
        <color rgb="FF969696"/>
      </top>
      <bottom style="thin">
        <color rgb="FF969696"/>
      </bottom>
      <diagonal/>
    </border>
    <border>
      <left/>
      <right/>
      <top style="thin">
        <color rgb="FF969696"/>
      </top>
      <bottom style="thin">
        <color rgb="FF969696"/>
      </bottom>
      <diagonal/>
    </border>
    <border>
      <left/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rgb="FFC0C0C0"/>
      </left>
      <right/>
      <top style="thin">
        <color rgb="FF969696"/>
      </top>
      <bottom/>
      <diagonal/>
    </border>
    <border>
      <left/>
      <right/>
      <top style="thin">
        <color rgb="FF969696"/>
      </top>
      <bottom/>
      <diagonal/>
    </border>
    <border>
      <left/>
      <right style="thin">
        <color rgb="FF969696"/>
      </right>
      <top style="thin">
        <color rgb="FF969696"/>
      </top>
      <bottom/>
      <diagonal/>
    </border>
    <border>
      <left style="thin">
        <color rgb="FFC0C0C0"/>
      </left>
      <right/>
      <top/>
      <bottom style="thin">
        <color rgb="FF969696"/>
      </bottom>
      <diagonal/>
    </border>
    <border>
      <left/>
      <right/>
      <top/>
      <bottom style="thin">
        <color rgb="FF969696"/>
      </bottom>
      <diagonal/>
    </border>
    <border>
      <left/>
      <right style="thin">
        <color rgb="FF969696"/>
      </right>
      <top/>
      <bottom style="thin">
        <color rgb="FF969696"/>
      </bottom>
      <diagonal/>
    </border>
    <border>
      <left/>
      <right/>
      <top/>
      <bottom style="thin">
        <color rgb="FFC0C0C0"/>
      </bottom>
      <diagonal/>
    </border>
    <border>
      <left/>
      <right style="thin">
        <color theme="9"/>
      </right>
      <top style="thin">
        <color indexed="22"/>
      </top>
      <bottom/>
      <diagonal/>
    </border>
    <border>
      <left/>
      <right style="thin">
        <color theme="9"/>
      </right>
      <top/>
      <bottom style="thin">
        <color indexed="22"/>
      </bottom>
      <diagonal/>
    </border>
    <border>
      <left style="thin">
        <color theme="9"/>
      </left>
      <right/>
      <top/>
      <bottom/>
      <diagonal/>
    </border>
    <border>
      <left/>
      <right style="thin">
        <color theme="9"/>
      </right>
      <top/>
      <bottom/>
      <diagonal/>
    </border>
    <border>
      <left style="thin">
        <color rgb="FFB2C0BE"/>
      </left>
      <right/>
      <top/>
      <bottom/>
      <diagonal/>
    </border>
    <border>
      <left/>
      <right style="thin">
        <color rgb="FFB2C0BE"/>
      </right>
      <top/>
      <bottom/>
      <diagonal/>
    </border>
    <border>
      <left style="thin">
        <color theme="7" tint="0.79998168889431442"/>
      </left>
      <right style="thin">
        <color indexed="64"/>
      </right>
      <top style="thin">
        <color theme="7" tint="0.79998168889431442"/>
      </top>
      <bottom style="thin">
        <color theme="7" tint="0.79998168889431442"/>
      </bottom>
      <diagonal/>
    </border>
    <border>
      <left style="thin">
        <color indexed="64"/>
      </left>
      <right style="thin">
        <color indexed="64"/>
      </right>
      <top style="thin">
        <color theme="7" tint="0.79998168889431442"/>
      </top>
      <bottom style="thin">
        <color theme="7" tint="0.79998168889431442"/>
      </bottom>
      <diagonal/>
    </border>
    <border>
      <left style="thin">
        <color indexed="64"/>
      </left>
      <right/>
      <top style="thin">
        <color theme="7" tint="0.79998168889431442"/>
      </top>
      <bottom style="thin">
        <color theme="7" tint="0.79998168889431442"/>
      </bottom>
      <diagonal/>
    </border>
    <border>
      <left style="thin">
        <color indexed="22"/>
      </left>
      <right/>
      <top style="thin">
        <color theme="7" tint="0.79998168889431442"/>
      </top>
      <bottom/>
      <diagonal/>
    </border>
    <border>
      <left/>
      <right style="thin">
        <color indexed="22"/>
      </right>
      <top style="thin">
        <color theme="7" tint="0.79998168889431442"/>
      </top>
      <bottom/>
      <diagonal/>
    </border>
    <border>
      <left/>
      <right style="thin">
        <color theme="9"/>
      </right>
      <top style="thin">
        <color indexed="22"/>
      </top>
      <bottom style="thin">
        <color indexed="22"/>
      </bottom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/>
      <right style="thin">
        <color rgb="FFC0C0C0"/>
      </right>
      <top style="thin">
        <color rgb="FF969696"/>
      </top>
      <bottom style="thin">
        <color rgb="FF969696"/>
      </bottom>
      <diagonal/>
    </border>
    <border>
      <left style="thin">
        <color rgb="FFC0C0C0"/>
      </left>
      <right style="thin">
        <color rgb="FFC0C0C0"/>
      </right>
      <top style="thin">
        <color rgb="FF969696"/>
      </top>
      <bottom style="thin">
        <color rgb="FF969696"/>
      </bottom>
      <diagonal/>
    </border>
    <border>
      <left style="thin">
        <color rgb="FFB2C0BE"/>
      </left>
      <right/>
      <top style="thin">
        <color rgb="FFB2C0BE"/>
      </top>
      <bottom/>
      <diagonal/>
    </border>
    <border>
      <left/>
      <right/>
      <top style="thin">
        <color rgb="FFB2C0BE"/>
      </top>
      <bottom/>
      <diagonal/>
    </border>
    <border>
      <left/>
      <right style="thin">
        <color rgb="FFB2C0BE"/>
      </right>
      <top style="thin">
        <color rgb="FFB2C0BE"/>
      </top>
      <bottom/>
      <diagonal/>
    </border>
    <border>
      <left style="thin">
        <color rgb="FFB2C0BE"/>
      </left>
      <right/>
      <top/>
      <bottom style="thin">
        <color rgb="FFB2C0BE"/>
      </bottom>
      <diagonal/>
    </border>
    <border>
      <left style="thin">
        <color rgb="FF969696"/>
      </left>
      <right/>
      <top style="thin">
        <color rgb="FF969696"/>
      </top>
      <bottom/>
      <diagonal/>
    </border>
    <border>
      <left/>
      <right style="thin">
        <color indexed="22"/>
      </right>
      <top style="thin">
        <color rgb="FF969696"/>
      </top>
      <bottom/>
      <diagonal/>
    </border>
    <border>
      <left style="thin">
        <color rgb="FF969696"/>
      </left>
      <right/>
      <top/>
      <bottom style="thin">
        <color rgb="FF969696"/>
      </bottom>
      <diagonal/>
    </border>
    <border>
      <left/>
      <right style="thin">
        <color indexed="22"/>
      </right>
      <top/>
      <bottom style="thin">
        <color rgb="FF969696"/>
      </bottom>
      <diagonal/>
    </border>
    <border>
      <left style="thin">
        <color rgb="FFC0C0C0"/>
      </left>
      <right/>
      <top style="thin">
        <color rgb="FFC0C0C0"/>
      </top>
      <bottom/>
      <diagonal/>
    </border>
    <border>
      <left/>
      <right/>
      <top style="thin">
        <color rgb="FFC0C0C0"/>
      </top>
      <bottom/>
      <diagonal/>
    </border>
    <border>
      <left/>
      <right style="thin">
        <color rgb="FFC0C0C0"/>
      </right>
      <top style="thin">
        <color rgb="FFC0C0C0"/>
      </top>
      <bottom/>
      <diagonal/>
    </border>
    <border>
      <left style="thin">
        <color rgb="FFC0C0C0"/>
      </left>
      <right/>
      <top/>
      <bottom/>
      <diagonal/>
    </border>
    <border>
      <left/>
      <right style="thin">
        <color rgb="FFC0C0C0"/>
      </right>
      <top/>
      <bottom/>
      <diagonal/>
    </border>
    <border>
      <left style="thin">
        <color rgb="FFC0C0C0"/>
      </left>
      <right/>
      <top/>
      <bottom style="thin">
        <color rgb="FFC0C0C0"/>
      </bottom>
      <diagonal/>
    </border>
    <border>
      <left/>
      <right style="thin">
        <color rgb="FFC0C0C0"/>
      </right>
      <top/>
      <bottom style="thin">
        <color rgb="FFC0C0C0"/>
      </bottom>
      <diagonal/>
    </border>
    <border>
      <left style="thin">
        <color rgb="FFCCCCFF"/>
      </left>
      <right/>
      <top style="hair">
        <color rgb="FFCCCCFF"/>
      </top>
      <bottom style="thin">
        <color rgb="FFCCCCFF"/>
      </bottom>
      <diagonal/>
    </border>
    <border>
      <left/>
      <right/>
      <top style="hair">
        <color rgb="FFCCCCFF"/>
      </top>
      <bottom style="thin">
        <color rgb="FFCCCCFF"/>
      </bottom>
      <diagonal/>
    </border>
    <border>
      <left style="thin">
        <color rgb="FFCCCCFF"/>
      </left>
      <right/>
      <top style="thin">
        <color indexed="22"/>
      </top>
      <bottom/>
      <diagonal/>
    </border>
    <border>
      <left/>
      <right style="thin">
        <color rgb="FFCCCCFF"/>
      </right>
      <top style="thin">
        <color indexed="22"/>
      </top>
      <bottom/>
      <diagonal/>
    </border>
    <border>
      <left style="thin">
        <color rgb="FFCCCCFF"/>
      </left>
      <right/>
      <top style="thin">
        <color indexed="22"/>
      </top>
      <bottom style="thin">
        <color rgb="FFCCCCFF"/>
      </bottom>
      <diagonal/>
    </border>
    <border>
      <left/>
      <right/>
      <top style="thin">
        <color indexed="22"/>
      </top>
      <bottom style="thin">
        <color rgb="FFCCCCFF"/>
      </bottom>
      <diagonal/>
    </border>
    <border>
      <left/>
      <right style="thin">
        <color rgb="FFCCCCFF"/>
      </right>
      <top style="thin">
        <color indexed="22"/>
      </top>
      <bottom style="thin">
        <color rgb="FFCCCCFF"/>
      </bottom>
      <diagonal/>
    </border>
  </borders>
  <cellStyleXfs count="6">
    <xf numFmtId="0" fontId="0" fillId="0" borderId="0"/>
    <xf numFmtId="0" fontId="1" fillId="2" borderId="0"/>
    <xf numFmtId="0" fontId="1" fillId="0" borderId="0"/>
    <xf numFmtId="0" fontId="1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876">
    <xf numFmtId="0" fontId="0" fillId="0" borderId="0" xfId="0"/>
    <xf numFmtId="0" fontId="2" fillId="3" borderId="0" xfId="2" applyFont="1" applyFill="1" applyAlignment="1" applyProtection="1">
      <alignment vertical="center"/>
      <protection locked="0"/>
    </xf>
    <xf numFmtId="0" fontId="3" fillId="3" borderId="0" xfId="2" applyFont="1" applyFill="1" applyAlignment="1" applyProtection="1">
      <alignment vertical="center"/>
      <protection locked="0"/>
    </xf>
    <xf numFmtId="0" fontId="4" fillId="3" borderId="0" xfId="2" applyFont="1" applyFill="1" applyAlignment="1" applyProtection="1">
      <alignment vertical="center"/>
      <protection locked="0"/>
    </xf>
    <xf numFmtId="0" fontId="6" fillId="3" borderId="2" xfId="2" applyFont="1" applyFill="1" applyBorder="1" applyAlignment="1" applyProtection="1">
      <alignment vertical="center"/>
      <protection locked="0"/>
    </xf>
    <xf numFmtId="0" fontId="0" fillId="0" borderId="0" xfId="0" applyFill="1"/>
    <xf numFmtId="0" fontId="0" fillId="0" borderId="0" xfId="0" applyAlignment="1">
      <alignment horizontal="left" vertical="center" wrapText="1"/>
    </xf>
    <xf numFmtId="0" fontId="15" fillId="0" borderId="0" xfId="2" applyFont="1" applyAlignment="1">
      <alignment horizontal="center"/>
    </xf>
    <xf numFmtId="0" fontId="15" fillId="0" borderId="0" xfId="2" applyFont="1"/>
    <xf numFmtId="0" fontId="15" fillId="0" borderId="0" xfId="2" applyFont="1" applyAlignment="1">
      <alignment horizontal="right"/>
    </xf>
    <xf numFmtId="164" fontId="15" fillId="0" borderId="0" xfId="2" applyNumberFormat="1" applyFont="1" applyAlignment="1">
      <alignment horizontal="right"/>
    </xf>
    <xf numFmtId="0" fontId="1" fillId="0" borderId="0" xfId="1" applyFill="1"/>
    <xf numFmtId="0" fontId="1" fillId="0" borderId="0" xfId="2"/>
    <xf numFmtId="0" fontId="15" fillId="0" borderId="0" xfId="1" applyFont="1" applyFill="1" applyAlignment="1">
      <alignment horizontal="center" vertical="center"/>
    </xf>
    <xf numFmtId="0" fontId="15" fillId="0" borderId="0" xfId="1" applyFont="1" applyFill="1" applyAlignment="1">
      <alignment vertical="center"/>
    </xf>
    <xf numFmtId="0" fontId="2" fillId="0" borderId="0" xfId="2" applyFont="1" applyAlignment="1">
      <alignment vertical="center"/>
    </xf>
    <xf numFmtId="0" fontId="1" fillId="0" borderId="0" xfId="1" applyFill="1" applyAlignment="1">
      <alignment vertical="center"/>
    </xf>
    <xf numFmtId="0" fontId="15" fillId="0" borderId="0" xfId="1" applyFont="1" applyFill="1"/>
    <xf numFmtId="0" fontId="15" fillId="0" borderId="0" xfId="1" applyFont="1" applyFill="1" applyAlignment="1">
      <alignment horizontal="right"/>
    </xf>
    <xf numFmtId="0" fontId="6" fillId="0" borderId="2" xfId="2" applyFont="1" applyBorder="1" applyAlignment="1">
      <alignment vertical="center"/>
    </xf>
    <xf numFmtId="0" fontId="8" fillId="0" borderId="0" xfId="2" applyFont="1" applyAlignment="1">
      <alignment vertical="center"/>
    </xf>
    <xf numFmtId="0" fontId="8" fillId="3" borderId="0" xfId="2" applyFont="1" applyFill="1" applyAlignment="1" applyProtection="1">
      <alignment vertical="center"/>
      <protection locked="0"/>
    </xf>
    <xf numFmtId="0" fontId="10" fillId="0" borderId="0" xfId="2" applyFont="1"/>
    <xf numFmtId="0" fontId="13" fillId="0" borderId="0" xfId="2" applyFont="1"/>
    <xf numFmtId="0" fontId="7" fillId="0" borderId="0" xfId="0" applyFont="1"/>
    <xf numFmtId="0" fontId="12" fillId="0" borderId="0" xfId="2" applyFont="1"/>
    <xf numFmtId="0" fontId="12" fillId="0" borderId="0" xfId="0" applyFont="1"/>
    <xf numFmtId="0" fontId="24" fillId="0" borderId="0" xfId="0" applyFont="1"/>
    <xf numFmtId="0" fontId="9" fillId="0" borderId="0" xfId="1" applyFont="1" applyFill="1" applyAlignment="1">
      <alignment horizontal="center" vertical="center"/>
    </xf>
    <xf numFmtId="0" fontId="10" fillId="0" borderId="0" xfId="2" applyFont="1" applyAlignment="1">
      <alignment vertical="center" wrapText="1"/>
    </xf>
    <xf numFmtId="49" fontId="15" fillId="0" borderId="0" xfId="1" applyNumberFormat="1" applyFont="1" applyFill="1" applyAlignment="1">
      <alignment horizontal="left" vertical="center" wrapText="1" indent="1"/>
    </xf>
    <xf numFmtId="0" fontId="0" fillId="0" borderId="3" xfId="0" applyBorder="1"/>
    <xf numFmtId="0" fontId="0" fillId="0" borderId="0" xfId="0" applyAlignment="1">
      <alignment horizontal="left" vertical="center" shrinkToFit="1"/>
    </xf>
    <xf numFmtId="0" fontId="15" fillId="0" borderId="0" xfId="2" applyFont="1" applyAlignment="1">
      <alignment horizontal="right" vertical="center"/>
    </xf>
    <xf numFmtId="0" fontId="3" fillId="0" borderId="0" xfId="2" applyFont="1" applyAlignment="1">
      <alignment vertical="center"/>
    </xf>
    <xf numFmtId="0" fontId="4" fillId="0" borderId="0" xfId="2" applyFont="1" applyAlignment="1">
      <alignment vertical="center"/>
    </xf>
    <xf numFmtId="0" fontId="7" fillId="0" borderId="0" xfId="2" applyFont="1" applyAlignment="1">
      <alignment vertical="center"/>
    </xf>
    <xf numFmtId="0" fontId="6" fillId="0" borderId="0" xfId="2" applyFont="1" applyAlignment="1">
      <alignment vertical="center"/>
    </xf>
    <xf numFmtId="0" fontId="15" fillId="0" borderId="0" xfId="2" applyFont="1" applyAlignment="1">
      <alignment horizontal="right" vertical="top"/>
    </xf>
    <xf numFmtId="0" fontId="8" fillId="0" borderId="4" xfId="2" applyFont="1" applyBorder="1" applyAlignment="1">
      <alignment vertical="center"/>
    </xf>
    <xf numFmtId="0" fontId="1" fillId="0" borderId="4" xfId="1" applyFill="1" applyBorder="1"/>
    <xf numFmtId="0" fontId="7" fillId="0" borderId="0" xfId="2" applyFont="1" applyAlignment="1">
      <alignment horizontal="left"/>
    </xf>
    <xf numFmtId="0" fontId="7" fillId="0" borderId="0" xfId="2" applyFont="1"/>
    <xf numFmtId="0" fontId="1" fillId="0" borderId="2" xfId="2" applyBorder="1"/>
    <xf numFmtId="0" fontId="5" fillId="0" borderId="0" xfId="2" applyFont="1"/>
    <xf numFmtId="0" fontId="1" fillId="0" borderId="4" xfId="2" applyBorder="1"/>
    <xf numFmtId="0" fontId="10" fillId="0" borderId="0" xfId="2" applyFont="1" applyAlignment="1">
      <alignment horizontal="left"/>
    </xf>
    <xf numFmtId="0" fontId="18" fillId="4" borderId="5" xfId="2" applyFont="1" applyFill="1" applyBorder="1" applyAlignment="1">
      <alignment horizontal="left" vertical="center"/>
    </xf>
    <xf numFmtId="0" fontId="13" fillId="4" borderId="5" xfId="2" applyFont="1" applyFill="1" applyBorder="1" applyAlignment="1">
      <alignment horizontal="left" vertical="center"/>
    </xf>
    <xf numFmtId="0" fontId="18" fillId="4" borderId="6" xfId="2" applyFont="1" applyFill="1" applyBorder="1" applyAlignment="1">
      <alignment horizontal="left" vertical="center"/>
    </xf>
    <xf numFmtId="0" fontId="10" fillId="0" borderId="0" xfId="1" applyFont="1" applyFill="1" applyAlignment="1">
      <alignment vertical="center"/>
    </xf>
    <xf numFmtId="0" fontId="5" fillId="0" borderId="0" xfId="1" applyFont="1" applyFill="1"/>
    <xf numFmtId="0" fontId="7" fillId="0" borderId="0" xfId="1" applyFont="1" applyFill="1"/>
    <xf numFmtId="0" fontId="0" fillId="0" borderId="0" xfId="2" applyFont="1"/>
    <xf numFmtId="0" fontId="1" fillId="0" borderId="0" xfId="2" applyAlignment="1">
      <alignment horizontal="left" vertical="center" shrinkToFit="1"/>
    </xf>
    <xf numFmtId="0" fontId="0" fillId="0" borderId="0" xfId="0" quotePrefix="1"/>
    <xf numFmtId="2" fontId="0" fillId="0" borderId="0" xfId="0" quotePrefix="1" applyNumberFormat="1" applyAlignment="1">
      <alignment wrapText="1"/>
    </xf>
    <xf numFmtId="0" fontId="9" fillId="3" borderId="7" xfId="2" applyFont="1" applyFill="1" applyBorder="1" applyAlignment="1" applyProtection="1">
      <alignment horizontal="center" vertical="center"/>
      <protection locked="0"/>
    </xf>
    <xf numFmtId="0" fontId="9" fillId="0" borderId="8" xfId="2" applyFont="1" applyBorder="1" applyAlignment="1">
      <alignment horizontal="center" vertical="center"/>
    </xf>
    <xf numFmtId="164" fontId="5" fillId="0" borderId="0" xfId="2" applyNumberFormat="1" applyFont="1"/>
    <xf numFmtId="14" fontId="0" fillId="0" borderId="0" xfId="0" applyNumberFormat="1"/>
    <xf numFmtId="0" fontId="7" fillId="0" borderId="0" xfId="2" applyFont="1" applyAlignment="1">
      <alignment horizontal="right"/>
    </xf>
    <xf numFmtId="0" fontId="20" fillId="0" borderId="0" xfId="1" applyFont="1" applyFill="1" applyAlignment="1">
      <alignment vertical="top" wrapText="1"/>
    </xf>
    <xf numFmtId="0" fontId="0" fillId="3" borderId="0" xfId="0" applyFill="1"/>
    <xf numFmtId="0" fontId="27" fillId="0" borderId="0" xfId="0" applyFont="1"/>
    <xf numFmtId="0" fontId="15" fillId="0" borderId="44" xfId="2" applyFont="1" applyBorder="1"/>
    <xf numFmtId="0" fontId="43" fillId="0" borderId="45" xfId="0" applyFont="1" applyBorder="1" applyAlignment="1">
      <alignment vertical="center"/>
    </xf>
    <xf numFmtId="0" fontId="43" fillId="0" borderId="45" xfId="0" applyFont="1" applyBorder="1" applyAlignment="1">
      <alignment horizontal="left" vertical="center" wrapText="1"/>
    </xf>
    <xf numFmtId="0" fontId="43" fillId="0" borderId="45" xfId="0" applyFont="1" applyBorder="1" applyAlignment="1">
      <alignment vertical="center" wrapText="1"/>
    </xf>
    <xf numFmtId="0" fontId="42" fillId="0" borderId="0" xfId="0" applyFont="1" applyAlignment="1">
      <alignment vertical="center"/>
    </xf>
    <xf numFmtId="0" fontId="44" fillId="0" borderId="45" xfId="0" applyFont="1" applyBorder="1" applyAlignment="1">
      <alignment wrapText="1"/>
    </xf>
    <xf numFmtId="0" fontId="44" fillId="0" borderId="45" xfId="0" applyFont="1" applyBorder="1"/>
    <xf numFmtId="0" fontId="45" fillId="0" borderId="45" xfId="0" applyFont="1" applyBorder="1"/>
    <xf numFmtId="0" fontId="44" fillId="0" borderId="0" xfId="0" applyFont="1"/>
    <xf numFmtId="0" fontId="43" fillId="0" borderId="0" xfId="0" applyFont="1"/>
    <xf numFmtId="0" fontId="29" fillId="3" borderId="46" xfId="0" applyFont="1" applyFill="1" applyBorder="1"/>
    <xf numFmtId="0" fontId="29" fillId="3" borderId="0" xfId="0" applyFont="1" applyFill="1"/>
    <xf numFmtId="0" fontId="28" fillId="0" borderId="10" xfId="0" applyFont="1" applyBorder="1"/>
    <xf numFmtId="0" fontId="0" fillId="0" borderId="10" xfId="0" applyBorder="1"/>
    <xf numFmtId="0" fontId="0" fillId="0" borderId="11" xfId="0" applyBorder="1"/>
    <xf numFmtId="0" fontId="28" fillId="0" borderId="0" xfId="0" applyFont="1"/>
    <xf numFmtId="0" fontId="30" fillId="0" borderId="12" xfId="0" applyFont="1" applyBorder="1"/>
    <xf numFmtId="0" fontId="27" fillId="0" borderId="0" xfId="0" applyFont="1" applyAlignment="1"/>
    <xf numFmtId="0" fontId="1" fillId="0" borderId="0" xfId="1" applyNumberFormat="1" applyFill="1" applyAlignment="1">
      <alignment vertical="center"/>
    </xf>
    <xf numFmtId="0" fontId="1" fillId="0" borderId="0" xfId="1" applyNumberFormat="1" applyFill="1"/>
    <xf numFmtId="0" fontId="0" fillId="0" borderId="0" xfId="0" applyNumberFormat="1"/>
    <xf numFmtId="0" fontId="15" fillId="0" borderId="0" xfId="0" applyFont="1"/>
    <xf numFmtId="0" fontId="15" fillId="0" borderId="0" xfId="1" applyFont="1" applyFill="1" applyBorder="1" applyAlignment="1">
      <alignment horizontal="left" vertical="center" wrapText="1"/>
    </xf>
    <xf numFmtId="2" fontId="1" fillId="0" borderId="0" xfId="1" applyNumberFormat="1" applyFill="1"/>
    <xf numFmtId="0" fontId="7" fillId="9" borderId="0" xfId="2" applyFont="1" applyFill="1" applyAlignment="1">
      <alignment vertical="center"/>
    </xf>
    <xf numFmtId="0" fontId="7" fillId="9" borderId="0" xfId="2" applyFont="1" applyFill="1"/>
    <xf numFmtId="0" fontId="1" fillId="9" borderId="0" xfId="2" applyFill="1"/>
    <xf numFmtId="0" fontId="33" fillId="0" borderId="0" xfId="0" applyFont="1"/>
    <xf numFmtId="0" fontId="44" fillId="0" borderId="45" xfId="0" applyFont="1" applyBorder="1" applyAlignment="1">
      <alignment vertical="top" wrapText="1"/>
    </xf>
    <xf numFmtId="0" fontId="44" fillId="0" borderId="45" xfId="0" applyFont="1" applyBorder="1" applyAlignment="1">
      <alignment vertical="top"/>
    </xf>
    <xf numFmtId="0" fontId="45" fillId="0" borderId="45" xfId="0" applyFont="1" applyBorder="1" applyAlignment="1">
      <alignment vertical="top"/>
    </xf>
    <xf numFmtId="0" fontId="15" fillId="0" borderId="0" xfId="1" applyNumberFormat="1" applyFont="1" applyFill="1" applyAlignment="1">
      <alignment horizontal="left" vertical="center"/>
    </xf>
    <xf numFmtId="0" fontId="15" fillId="0" borderId="0" xfId="0" applyFont="1" applyBorder="1"/>
    <xf numFmtId="8" fontId="34" fillId="3" borderId="0" xfId="0" applyNumberFormat="1" applyFont="1" applyFill="1" applyAlignment="1" applyProtection="1">
      <alignment horizontal="left" vertical="center"/>
      <protection locked="0"/>
    </xf>
    <xf numFmtId="165" fontId="1" fillId="0" borderId="0" xfId="2" applyNumberFormat="1"/>
    <xf numFmtId="0" fontId="15" fillId="0" borderId="47" xfId="0" applyFont="1" applyBorder="1"/>
    <xf numFmtId="0" fontId="15" fillId="0" borderId="48" xfId="0" applyFont="1" applyBorder="1"/>
    <xf numFmtId="0" fontId="0" fillId="0" borderId="0" xfId="0" applyNumberFormat="1" applyFill="1"/>
    <xf numFmtId="0" fontId="0" fillId="0" borderId="0" xfId="0" applyFill="1" applyBorder="1"/>
    <xf numFmtId="0" fontId="46" fillId="0" borderId="0" xfId="0" applyFont="1" applyFill="1" applyBorder="1"/>
    <xf numFmtId="0" fontId="44" fillId="0" borderId="0" xfId="0" applyFont="1" applyBorder="1" applyAlignment="1">
      <alignment vertical="top" wrapText="1"/>
    </xf>
    <xf numFmtId="0" fontId="46" fillId="0" borderId="0" xfId="0" applyFont="1" applyFill="1"/>
    <xf numFmtId="0" fontId="40" fillId="0" borderId="0" xfId="0" applyFont="1" applyBorder="1" applyAlignment="1">
      <alignment vertical="center"/>
    </xf>
    <xf numFmtId="0" fontId="41" fillId="0" borderId="0" xfId="0" applyFont="1" applyBorder="1" applyAlignment="1">
      <alignment wrapText="1"/>
    </xf>
    <xf numFmtId="0" fontId="41" fillId="0" borderId="0" xfId="0" applyFont="1" applyBorder="1" applyAlignment="1">
      <alignment vertical="top" wrapText="1"/>
    </xf>
    <xf numFmtId="0" fontId="41" fillId="0" borderId="0" xfId="0" applyFont="1" applyBorder="1"/>
    <xf numFmtId="0" fontId="7" fillId="0" borderId="0" xfId="2" applyFont="1" applyAlignment="1">
      <alignment horizontal="left" vertical="center" shrinkToFit="1"/>
    </xf>
    <xf numFmtId="0" fontId="15" fillId="0" borderId="0" xfId="2" applyFont="1" applyProtection="1">
      <protection locked="0"/>
    </xf>
    <xf numFmtId="0" fontId="15" fillId="0" borderId="0" xfId="2" applyFont="1" applyAlignment="1" applyProtection="1">
      <alignment horizontal="right"/>
      <protection locked="0"/>
    </xf>
    <xf numFmtId="0" fontId="15" fillId="0" borderId="0" xfId="2" applyFont="1" applyAlignment="1" applyProtection="1">
      <alignment horizontal="right"/>
    </xf>
    <xf numFmtId="0" fontId="9" fillId="0" borderId="0" xfId="2" applyFont="1" applyAlignment="1">
      <alignment horizontal="right"/>
    </xf>
    <xf numFmtId="0" fontId="7" fillId="0" borderId="0" xfId="0" applyFont="1" applyFill="1"/>
    <xf numFmtId="0" fontId="15" fillId="0" borderId="0" xfId="2" applyFont="1" applyFill="1" applyProtection="1">
      <protection locked="0"/>
    </xf>
    <xf numFmtId="0" fontId="44" fillId="0" borderId="45" xfId="0" applyFont="1" applyBorder="1" applyAlignment="1"/>
    <xf numFmtId="0" fontId="44" fillId="0" borderId="45" xfId="0" applyFont="1" applyBorder="1" applyAlignment="1">
      <alignment vertical="center" wrapText="1"/>
    </xf>
    <xf numFmtId="0" fontId="44" fillId="0" borderId="45" xfId="0" applyFont="1" applyBorder="1" applyAlignment="1">
      <alignment vertical="center"/>
    </xf>
    <xf numFmtId="0" fontId="0" fillId="0" borderId="0" xfId="0" applyAlignment="1">
      <alignment vertical="center"/>
    </xf>
    <xf numFmtId="0" fontId="44" fillId="0" borderId="0" xfId="0" applyFont="1" applyAlignment="1">
      <alignment vertical="center"/>
    </xf>
    <xf numFmtId="0" fontId="45" fillId="0" borderId="45" xfId="0" applyFont="1" applyBorder="1" applyAlignment="1">
      <alignment vertical="center"/>
    </xf>
    <xf numFmtId="0" fontId="42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68" fontId="14" fillId="0" borderId="13" xfId="1" applyNumberFormat="1" applyFont="1" applyFill="1" applyBorder="1" applyAlignment="1" applyProtection="1">
      <alignment horizontal="center" vertical="center"/>
    </xf>
    <xf numFmtId="0" fontId="10" fillId="0" borderId="0" xfId="2" applyFont="1" applyAlignment="1">
      <alignment horizontal="left" vertical="center" wrapText="1"/>
    </xf>
    <xf numFmtId="0" fontId="14" fillId="0" borderId="14" xfId="1" applyFont="1" applyFill="1" applyBorder="1" applyAlignment="1" applyProtection="1">
      <alignment horizontal="center" vertical="center"/>
      <protection locked="0"/>
    </xf>
    <xf numFmtId="168" fontId="14" fillId="0" borderId="1" xfId="1" applyNumberFormat="1" applyFont="1" applyFill="1" applyBorder="1" applyAlignment="1" applyProtection="1">
      <alignment horizontal="center" vertical="center"/>
    </xf>
    <xf numFmtId="0" fontId="43" fillId="0" borderId="0" xfId="0" applyFont="1" applyBorder="1" applyAlignment="1">
      <alignment horizontal="left" vertical="center" wrapText="1"/>
    </xf>
    <xf numFmtId="0" fontId="44" fillId="0" borderId="0" xfId="0" applyFont="1" applyBorder="1" applyAlignment="1">
      <alignment vertical="center" wrapText="1"/>
    </xf>
    <xf numFmtId="0" fontId="45" fillId="0" borderId="0" xfId="0" applyFont="1" applyBorder="1" applyAlignment="1">
      <alignment vertical="center"/>
    </xf>
    <xf numFmtId="0" fontId="44" fillId="0" borderId="0" xfId="0" applyFont="1" applyBorder="1" applyAlignment="1">
      <alignment vertical="center"/>
    </xf>
    <xf numFmtId="0" fontId="44" fillId="0" borderId="0" xfId="0" applyFont="1" applyBorder="1" applyAlignment="1"/>
    <xf numFmtId="0" fontId="44" fillId="0" borderId="0" xfId="0" applyFont="1" applyBorder="1"/>
    <xf numFmtId="0" fontId="7" fillId="0" borderId="0" xfId="0" applyFont="1" applyAlignment="1">
      <alignment vertical="center"/>
    </xf>
    <xf numFmtId="14" fontId="1" fillId="0" borderId="0" xfId="1" applyNumberFormat="1" applyFill="1"/>
    <xf numFmtId="0" fontId="12" fillId="0" borderId="0" xfId="0" applyFont="1" applyAlignment="1">
      <alignment horizontal="center" vertical="center"/>
    </xf>
    <xf numFmtId="0" fontId="5" fillId="0" borderId="1" xfId="0" applyFont="1" applyBorder="1"/>
    <xf numFmtId="2" fontId="5" fillId="0" borderId="1" xfId="0" applyNumberFormat="1" applyFont="1" applyBorder="1"/>
    <xf numFmtId="164" fontId="1" fillId="0" borderId="0" xfId="2" applyNumberFormat="1"/>
    <xf numFmtId="0" fontId="5" fillId="0" borderId="1" xfId="0" applyFont="1" applyBorder="1" applyAlignment="1">
      <alignment horizontal="center"/>
    </xf>
    <xf numFmtId="4" fontId="19" fillId="0" borderId="1" xfId="0" applyNumberFormat="1" applyFont="1" applyBorder="1" applyProtection="1">
      <protection locked="0"/>
    </xf>
    <xf numFmtId="4" fontId="5" fillId="0" borderId="1" xfId="0" applyNumberFormat="1" applyFont="1" applyBorder="1"/>
    <xf numFmtId="14" fontId="5" fillId="0" borderId="1" xfId="0" applyNumberFormat="1" applyFont="1" applyBorder="1"/>
    <xf numFmtId="1" fontId="5" fillId="0" borderId="1" xfId="0" applyNumberFormat="1" applyFont="1" applyBorder="1"/>
    <xf numFmtId="0" fontId="1" fillId="0" borderId="0" xfId="2" applyAlignment="1">
      <alignment horizontal="left" vertical="center" wrapText="1"/>
    </xf>
    <xf numFmtId="173" fontId="5" fillId="0" borderId="1" xfId="0" quotePrefix="1" applyNumberFormat="1" applyFont="1" applyBorder="1" applyAlignment="1">
      <alignment wrapText="1"/>
    </xf>
    <xf numFmtId="2" fontId="1" fillId="0" borderId="0" xfId="2" applyNumberFormat="1"/>
    <xf numFmtId="0" fontId="36" fillId="0" borderId="0" xfId="0" applyFont="1"/>
    <xf numFmtId="4" fontId="0" fillId="0" borderId="0" xfId="0" applyNumberFormat="1"/>
    <xf numFmtId="2" fontId="0" fillId="0" borderId="0" xfId="0" applyNumberFormat="1"/>
    <xf numFmtId="0" fontId="0" fillId="0" borderId="0" xfId="0" applyAlignment="1">
      <alignment wrapText="1"/>
    </xf>
    <xf numFmtId="0" fontId="0" fillId="0" borderId="0" xfId="0" quotePrefix="1" applyAlignment="1">
      <alignment wrapText="1"/>
    </xf>
    <xf numFmtId="10" fontId="5" fillId="0" borderId="1" xfId="4" applyNumberFormat="1" applyFont="1" applyFill="1" applyBorder="1" applyProtection="1"/>
    <xf numFmtId="178" fontId="5" fillId="0" borderId="1" xfId="5" quotePrefix="1" applyNumberFormat="1" applyFont="1" applyFill="1" applyBorder="1" applyAlignment="1" applyProtection="1">
      <alignment wrapText="1"/>
    </xf>
    <xf numFmtId="0" fontId="47" fillId="0" borderId="0" xfId="0" applyFont="1" applyAlignment="1">
      <alignment horizontal="center" vertical="center"/>
    </xf>
    <xf numFmtId="0" fontId="0" fillId="0" borderId="0" xfId="0" applyAlignment="1">
      <alignment vertical="center" wrapText="1"/>
    </xf>
    <xf numFmtId="0" fontId="28" fillId="0" borderId="15" xfId="0" applyFont="1" applyBorder="1" applyAlignment="1">
      <alignment horizontal="right" vertical="center" wrapText="1"/>
    </xf>
    <xf numFmtId="10" fontId="0" fillId="0" borderId="0" xfId="0" applyNumberFormat="1" applyAlignment="1">
      <alignment vertical="center" wrapText="1"/>
    </xf>
    <xf numFmtId="0" fontId="28" fillId="0" borderId="0" xfId="0" applyFont="1" applyAlignment="1">
      <alignment horizontal="right" vertical="center"/>
    </xf>
    <xf numFmtId="179" fontId="37" fillId="0" borderId="0" xfId="4" applyNumberFormat="1" applyFont="1" applyFill="1" applyAlignment="1" applyProtection="1">
      <alignment horizontal="left" vertical="center"/>
    </xf>
    <xf numFmtId="179" fontId="0" fillId="0" borderId="0" xfId="0" applyNumberFormat="1" applyAlignment="1">
      <alignment vertical="center"/>
    </xf>
    <xf numFmtId="179" fontId="48" fillId="9" borderId="0" xfId="0" applyNumberFormat="1" applyFont="1" applyFill="1" applyAlignment="1">
      <alignment vertical="center"/>
    </xf>
    <xf numFmtId="0" fontId="0" fillId="0" borderId="0" xfId="0" applyAlignment="1">
      <alignment horizontal="right" vertical="center"/>
    </xf>
    <xf numFmtId="14" fontId="0" fillId="0" borderId="0" xfId="0" applyNumberFormat="1" applyAlignment="1">
      <alignment horizontal="left" vertical="center"/>
    </xf>
    <xf numFmtId="179" fontId="28" fillId="0" borderId="0" xfId="4" applyNumberFormat="1" applyFont="1" applyFill="1" applyAlignment="1" applyProtection="1">
      <alignment horizontal="left" vertical="center"/>
    </xf>
    <xf numFmtId="0" fontId="0" fillId="9" borderId="0" xfId="0" applyFill="1" applyAlignment="1">
      <alignment vertical="center"/>
    </xf>
    <xf numFmtId="167" fontId="49" fillId="9" borderId="0" xfId="0" applyNumberFormat="1" applyFont="1" applyFill="1" applyAlignment="1">
      <alignment vertical="center"/>
    </xf>
    <xf numFmtId="10" fontId="28" fillId="9" borderId="0" xfId="4" applyNumberFormat="1" applyFont="1" applyFill="1" applyBorder="1" applyAlignment="1" applyProtection="1">
      <alignment horizontal="left" vertical="center"/>
    </xf>
    <xf numFmtId="175" fontId="28" fillId="0" borderId="0" xfId="0" applyNumberFormat="1" applyFont="1" applyAlignment="1">
      <alignment horizontal="left" vertical="center"/>
    </xf>
    <xf numFmtId="0" fontId="34" fillId="0" borderId="0" xfId="0" applyFont="1" applyAlignment="1">
      <alignment horizontal="left" vertical="center"/>
    </xf>
    <xf numFmtId="0" fontId="50" fillId="0" borderId="0" xfId="0" applyFont="1" applyAlignment="1">
      <alignment vertical="center"/>
    </xf>
    <xf numFmtId="10" fontId="28" fillId="0" borderId="0" xfId="4" applyNumberFormat="1" applyFont="1" applyBorder="1" applyAlignment="1" applyProtection="1">
      <alignment horizontal="center" vertical="center"/>
    </xf>
    <xf numFmtId="0" fontId="28" fillId="0" borderId="0" xfId="0" applyFont="1" applyAlignment="1">
      <alignment horizontal="left" vertical="center"/>
    </xf>
    <xf numFmtId="10" fontId="28" fillId="0" borderId="0" xfId="4" quotePrefix="1" applyNumberFormat="1" applyFont="1" applyBorder="1" applyAlignment="1" applyProtection="1">
      <alignment horizontal="center" vertical="center"/>
    </xf>
    <xf numFmtId="171" fontId="14" fillId="0" borderId="16" xfId="2" applyNumberFormat="1" applyFont="1" applyFill="1" applyBorder="1" applyAlignment="1" applyProtection="1">
      <alignment horizontal="left" vertical="center"/>
      <protection locked="0"/>
    </xf>
    <xf numFmtId="0" fontId="14" fillId="0" borderId="16" xfId="2" applyFont="1" applyFill="1" applyBorder="1" applyAlignment="1" applyProtection="1">
      <alignment horizontal="left" vertical="center"/>
      <protection locked="0"/>
    </xf>
    <xf numFmtId="0" fontId="1" fillId="0" borderId="0" xfId="2" applyFill="1"/>
    <xf numFmtId="0" fontId="1" fillId="0" borderId="0" xfId="2" applyFill="1" applyBorder="1"/>
    <xf numFmtId="0" fontId="9" fillId="0" borderId="0" xfId="2" applyFont="1" applyFill="1" applyBorder="1" applyAlignment="1" applyProtection="1">
      <alignment horizontal="center" vertical="center"/>
      <protection locked="0"/>
    </xf>
    <xf numFmtId="0" fontId="15" fillId="0" borderId="0" xfId="2" applyFont="1" applyFill="1" applyBorder="1" applyAlignment="1">
      <alignment horizontal="right"/>
    </xf>
    <xf numFmtId="0" fontId="1" fillId="0" borderId="0" xfId="2" applyBorder="1"/>
    <xf numFmtId="0" fontId="9" fillId="3" borderId="0" xfId="2" applyFont="1" applyFill="1" applyBorder="1" applyAlignment="1" applyProtection="1">
      <alignment horizontal="center" vertical="center"/>
      <protection locked="0"/>
    </xf>
    <xf numFmtId="0" fontId="15" fillId="0" borderId="0" xfId="2" applyFont="1" applyBorder="1" applyAlignment="1">
      <alignment horizontal="right"/>
    </xf>
    <xf numFmtId="0" fontId="37" fillId="0" borderId="17" xfId="4" applyNumberFormat="1" applyFont="1" applyFill="1" applyBorder="1" applyAlignment="1" applyProtection="1">
      <alignment horizontal="left" vertical="center" wrapText="1"/>
    </xf>
    <xf numFmtId="0" fontId="28" fillId="0" borderId="0" xfId="4" applyNumberFormat="1" applyFont="1" applyFill="1" applyBorder="1" applyAlignment="1" applyProtection="1">
      <alignment horizontal="left" vertical="center"/>
    </xf>
    <xf numFmtId="0" fontId="1" fillId="0" borderId="49" xfId="2" applyBorder="1"/>
    <xf numFmtId="0" fontId="1" fillId="0" borderId="50" xfId="2" applyBorder="1"/>
    <xf numFmtId="0" fontId="1" fillId="0" borderId="51" xfId="1" applyFill="1" applyBorder="1"/>
    <xf numFmtId="0" fontId="5" fillId="0" borderId="18" xfId="2" applyFont="1" applyBorder="1" applyAlignment="1" applyProtection="1">
      <alignment horizontal="left" wrapText="1"/>
      <protection locked="0"/>
    </xf>
    <xf numFmtId="0" fontId="5" fillId="0" borderId="8" xfId="2" applyFont="1" applyBorder="1" applyAlignment="1" applyProtection="1">
      <alignment horizontal="left" wrapText="1"/>
      <protection locked="0"/>
    </xf>
    <xf numFmtId="0" fontId="5" fillId="0" borderId="0" xfId="2" applyFont="1" applyBorder="1" applyAlignment="1" applyProtection="1">
      <alignment horizontal="left" wrapText="1"/>
      <protection locked="0"/>
    </xf>
    <xf numFmtId="0" fontId="1" fillId="0" borderId="0" xfId="1" applyFill="1" applyAlignment="1">
      <alignment horizontal="center" vertical="center"/>
    </xf>
    <xf numFmtId="168" fontId="14" fillId="0" borderId="13" xfId="1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/>
    <xf numFmtId="0" fontId="5" fillId="0" borderId="19" xfId="0" applyFont="1" applyBorder="1" applyProtection="1">
      <protection locked="0"/>
    </xf>
    <xf numFmtId="0" fontId="1" fillId="0" borderId="0" xfId="2" applyProtection="1">
      <protection locked="0"/>
    </xf>
    <xf numFmtId="0" fontId="5" fillId="0" borderId="1" xfId="0" applyFont="1" applyBorder="1" applyAlignment="1" applyProtection="1">
      <alignment horizontal="center"/>
    </xf>
    <xf numFmtId="49" fontId="15" fillId="0" borderId="13" xfId="1" applyNumberFormat="1" applyFont="1" applyFill="1" applyBorder="1" applyAlignment="1" applyProtection="1">
      <alignment vertical="center"/>
    </xf>
    <xf numFmtId="49" fontId="15" fillId="0" borderId="20" xfId="1" applyNumberFormat="1" applyFont="1" applyFill="1" applyBorder="1" applyAlignment="1" applyProtection="1">
      <alignment vertical="center"/>
    </xf>
    <xf numFmtId="49" fontId="15" fillId="0" borderId="52" xfId="1" applyNumberFormat="1" applyFont="1" applyFill="1" applyBorder="1" applyAlignment="1" applyProtection="1">
      <alignment vertical="center"/>
    </xf>
    <xf numFmtId="0" fontId="15" fillId="0" borderId="53" xfId="2" applyFont="1" applyBorder="1"/>
    <xf numFmtId="0" fontId="15" fillId="0" borderId="54" xfId="2" applyFont="1" applyBorder="1"/>
    <xf numFmtId="0" fontId="15" fillId="0" borderId="22" xfId="1" applyFont="1" applyFill="1" applyBorder="1" applyAlignment="1">
      <alignment vertical="center"/>
    </xf>
    <xf numFmtId="0" fontId="15" fillId="0" borderId="29" xfId="1" applyFont="1" applyFill="1" applyBorder="1" applyAlignment="1">
      <alignment horizontal="left" vertical="center" wrapText="1"/>
    </xf>
    <xf numFmtId="0" fontId="15" fillId="0" borderId="16" xfId="1" applyFont="1" applyFill="1" applyBorder="1" applyAlignment="1">
      <alignment horizontal="left" vertical="center" wrapText="1"/>
    </xf>
    <xf numFmtId="0" fontId="15" fillId="0" borderId="7" xfId="1" applyFont="1" applyFill="1" applyBorder="1" applyAlignment="1">
      <alignment horizontal="left" vertical="center" wrapText="1"/>
    </xf>
    <xf numFmtId="0" fontId="15" fillId="0" borderId="18" xfId="1" applyFont="1" applyFill="1" applyBorder="1" applyAlignment="1">
      <alignment horizontal="left" vertical="center" wrapText="1"/>
    </xf>
    <xf numFmtId="0" fontId="15" fillId="0" borderId="0" xfId="1" applyFont="1" applyFill="1" applyAlignment="1">
      <alignment horizontal="left" vertical="center" wrapText="1"/>
    </xf>
    <xf numFmtId="0" fontId="15" fillId="0" borderId="8" xfId="1" applyFont="1" applyFill="1" applyBorder="1" applyAlignment="1">
      <alignment horizontal="left" vertical="center" wrapText="1"/>
    </xf>
    <xf numFmtId="0" fontId="15" fillId="0" borderId="27" xfId="1" applyFont="1" applyFill="1" applyBorder="1" applyAlignment="1">
      <alignment horizontal="left" vertical="center" wrapText="1"/>
    </xf>
    <xf numFmtId="0" fontId="15" fillId="0" borderId="28" xfId="1" applyFont="1" applyFill="1" applyBorder="1" applyAlignment="1">
      <alignment horizontal="left" vertical="center" wrapText="1"/>
    </xf>
    <xf numFmtId="0" fontId="15" fillId="0" borderId="22" xfId="1" applyFont="1" applyFill="1" applyBorder="1" applyAlignment="1">
      <alignment horizontal="left" vertical="center" wrapText="1"/>
    </xf>
    <xf numFmtId="0" fontId="15" fillId="0" borderId="58" xfId="1" applyFont="1" applyFill="1" applyBorder="1" applyAlignment="1">
      <alignment vertical="center"/>
    </xf>
    <xf numFmtId="0" fontId="15" fillId="0" borderId="59" xfId="1" applyFont="1" applyFill="1" applyBorder="1" applyAlignment="1">
      <alignment vertical="center"/>
    </xf>
    <xf numFmtId="0" fontId="15" fillId="0" borderId="60" xfId="1" applyFont="1" applyFill="1" applyBorder="1" applyAlignment="1">
      <alignment vertical="center"/>
    </xf>
    <xf numFmtId="0" fontId="14" fillId="0" borderId="24" xfId="1" applyFont="1" applyFill="1" applyBorder="1" applyAlignment="1" applyProtection="1">
      <alignment horizontal="center" vertical="center"/>
      <protection locked="0"/>
    </xf>
    <xf numFmtId="0" fontId="14" fillId="0" borderId="25" xfId="1" applyFont="1" applyFill="1" applyBorder="1" applyAlignment="1" applyProtection="1">
      <alignment horizontal="center" vertical="center"/>
      <protection locked="0"/>
    </xf>
    <xf numFmtId="0" fontId="14" fillId="0" borderId="26" xfId="1" applyFont="1" applyFill="1" applyBorder="1" applyAlignment="1" applyProtection="1">
      <alignment horizontal="center" vertical="center"/>
      <protection locked="0"/>
    </xf>
    <xf numFmtId="0" fontId="15" fillId="0" borderId="87" xfId="1" applyFont="1" applyFill="1" applyBorder="1" applyAlignment="1">
      <alignment vertical="center"/>
    </xf>
    <xf numFmtId="0" fontId="15" fillId="0" borderId="88" xfId="1" applyFont="1" applyFill="1" applyBorder="1" applyAlignment="1">
      <alignment vertical="center"/>
    </xf>
    <xf numFmtId="0" fontId="15" fillId="0" borderId="89" xfId="1" applyFont="1" applyFill="1" applyBorder="1" applyAlignment="1">
      <alignment vertical="center"/>
    </xf>
    <xf numFmtId="0" fontId="31" fillId="0" borderId="67" xfId="0" applyFont="1" applyBorder="1" applyAlignment="1">
      <alignment horizontal="center" vertical="center" wrapText="1"/>
    </xf>
    <xf numFmtId="0" fontId="32" fillId="0" borderId="67" xfId="0" applyFont="1" applyBorder="1" applyAlignment="1">
      <alignment horizontal="center" vertical="center" wrapText="1"/>
    </xf>
    <xf numFmtId="0" fontId="19" fillId="0" borderId="27" xfId="1" applyFont="1" applyFill="1" applyBorder="1" applyAlignment="1">
      <alignment horizontal="left" vertical="center" wrapText="1"/>
    </xf>
    <xf numFmtId="0" fontId="19" fillId="0" borderId="28" xfId="1" applyFont="1" applyFill="1" applyBorder="1" applyAlignment="1">
      <alignment horizontal="left" vertical="center" wrapText="1"/>
    </xf>
    <xf numFmtId="0" fontId="19" fillId="0" borderId="22" xfId="1" applyFont="1" applyFill="1" applyBorder="1" applyAlignment="1">
      <alignment horizontal="left" vertical="center" wrapText="1"/>
    </xf>
    <xf numFmtId="0" fontId="14" fillId="0" borderId="16" xfId="1" applyFont="1" applyFill="1" applyBorder="1" applyAlignment="1" applyProtection="1">
      <alignment horizontal="left" vertical="top" wrapText="1"/>
      <protection locked="0"/>
    </xf>
    <xf numFmtId="0" fontId="14" fillId="0" borderId="7" xfId="1" applyFont="1" applyFill="1" applyBorder="1" applyAlignment="1" applyProtection="1">
      <alignment horizontal="left" vertical="top" wrapText="1"/>
      <protection locked="0"/>
    </xf>
    <xf numFmtId="0" fontId="14" fillId="0" borderId="28" xfId="1" applyFont="1" applyFill="1" applyBorder="1" applyAlignment="1" applyProtection="1">
      <alignment horizontal="left" vertical="top" wrapText="1"/>
      <protection locked="0"/>
    </xf>
    <xf numFmtId="0" fontId="14" fillId="0" borderId="22" xfId="1" applyFont="1" applyFill="1" applyBorder="1" applyAlignment="1" applyProtection="1">
      <alignment horizontal="left" vertical="top" wrapText="1"/>
      <protection locked="0"/>
    </xf>
    <xf numFmtId="0" fontId="32" fillId="0" borderId="67" xfId="0" applyFont="1" applyBorder="1" applyAlignment="1">
      <alignment vertical="center" wrapText="1"/>
    </xf>
    <xf numFmtId="0" fontId="14" fillId="0" borderId="68" xfId="1" applyFont="1" applyFill="1" applyBorder="1" applyAlignment="1" applyProtection="1">
      <alignment horizontal="center" vertical="center"/>
      <protection locked="0"/>
    </xf>
    <xf numFmtId="3" fontId="14" fillId="0" borderId="102" xfId="1" applyNumberFormat="1" applyFont="1" applyFill="1" applyBorder="1" applyAlignment="1" applyProtection="1">
      <alignment horizontal="center" vertical="center"/>
      <protection locked="0"/>
    </xf>
    <xf numFmtId="0" fontId="15" fillId="0" borderId="35" xfId="1" applyFont="1" applyFill="1" applyBorder="1" applyAlignment="1">
      <alignment horizontal="left" vertical="center" wrapText="1"/>
    </xf>
    <xf numFmtId="0" fontId="15" fillId="0" borderId="20" xfId="1" applyFont="1" applyFill="1" applyBorder="1" applyAlignment="1">
      <alignment horizontal="left" vertical="center" wrapText="1"/>
    </xf>
    <xf numFmtId="0" fontId="15" fillId="0" borderId="23" xfId="1" applyFont="1" applyFill="1" applyBorder="1" applyAlignment="1">
      <alignment horizontal="left" vertical="center" wrapText="1"/>
    </xf>
    <xf numFmtId="2" fontId="51" fillId="10" borderId="64" xfId="0" applyNumberFormat="1" applyFont="1" applyFill="1" applyBorder="1" applyAlignment="1">
      <alignment horizontal="center" vertical="center" wrapText="1"/>
    </xf>
    <xf numFmtId="2" fontId="51" fillId="10" borderId="65" xfId="0" applyNumberFormat="1" applyFont="1" applyFill="1" applyBorder="1" applyAlignment="1">
      <alignment horizontal="center" vertical="center" wrapText="1"/>
    </xf>
    <xf numFmtId="2" fontId="51" fillId="10" borderId="66" xfId="0" applyNumberFormat="1" applyFont="1" applyFill="1" applyBorder="1" applyAlignment="1">
      <alignment horizontal="center" vertical="center" wrapText="1"/>
    </xf>
    <xf numFmtId="0" fontId="51" fillId="11" borderId="64" xfId="0" applyFont="1" applyFill="1" applyBorder="1" applyAlignment="1">
      <alignment horizontal="center" vertical="center" wrapText="1"/>
    </xf>
    <xf numFmtId="0" fontId="51" fillId="11" borderId="65" xfId="0" applyFont="1" applyFill="1" applyBorder="1" applyAlignment="1">
      <alignment horizontal="center" vertical="center" wrapText="1"/>
    </xf>
    <xf numFmtId="0" fontId="51" fillId="11" borderId="66" xfId="0" applyFont="1" applyFill="1" applyBorder="1" applyAlignment="1">
      <alignment horizontal="center" vertical="center" wrapText="1"/>
    </xf>
    <xf numFmtId="0" fontId="19" fillId="0" borderId="18" xfId="1" applyFont="1" applyFill="1" applyBorder="1" applyAlignment="1">
      <alignment horizontal="left" vertical="center" wrapText="1"/>
    </xf>
    <xf numFmtId="0" fontId="19" fillId="0" borderId="0" xfId="1" applyFont="1" applyFill="1" applyBorder="1" applyAlignment="1">
      <alignment horizontal="left" vertical="center" wrapText="1"/>
    </xf>
    <xf numFmtId="0" fontId="19" fillId="0" borderId="8" xfId="1" applyFont="1" applyFill="1" applyBorder="1" applyAlignment="1">
      <alignment horizontal="left" vertical="center" wrapText="1"/>
    </xf>
    <xf numFmtId="4" fontId="14" fillId="0" borderId="102" xfId="1" applyNumberFormat="1" applyFont="1" applyFill="1" applyBorder="1" applyAlignment="1" applyProtection="1">
      <alignment horizontal="left" vertical="center"/>
      <protection locked="0"/>
    </xf>
    <xf numFmtId="0" fontId="15" fillId="0" borderId="145" xfId="1" applyFont="1" applyFill="1" applyBorder="1" applyAlignment="1">
      <alignment vertical="center"/>
    </xf>
    <xf numFmtId="0" fontId="15" fillId="0" borderId="146" xfId="1" applyFont="1" applyFill="1" applyBorder="1" applyAlignment="1">
      <alignment vertical="center"/>
    </xf>
    <xf numFmtId="4" fontId="14" fillId="0" borderId="142" xfId="1" applyNumberFormat="1" applyFont="1" applyFill="1" applyBorder="1" applyAlignment="1" applyProtection="1">
      <alignment horizontal="left" vertical="center"/>
      <protection locked="0"/>
    </xf>
    <xf numFmtId="4" fontId="14" fillId="0" borderId="143" xfId="1" applyNumberFormat="1" applyFont="1" applyFill="1" applyBorder="1" applyAlignment="1" applyProtection="1">
      <alignment horizontal="left" vertical="center"/>
      <protection locked="0"/>
    </xf>
    <xf numFmtId="4" fontId="14" fillId="0" borderId="144" xfId="1" applyNumberFormat="1" applyFont="1" applyFill="1" applyBorder="1" applyAlignment="1" applyProtection="1">
      <alignment horizontal="left" vertical="center"/>
      <protection locked="0"/>
    </xf>
    <xf numFmtId="0" fontId="15" fillId="0" borderId="153" xfId="1" applyFont="1" applyFill="1" applyBorder="1" applyAlignment="1">
      <alignment horizontal="right" vertical="center"/>
    </xf>
    <xf numFmtId="0" fontId="15" fillId="0" borderId="122" xfId="1" applyFont="1" applyFill="1" applyBorder="1" applyAlignment="1">
      <alignment horizontal="right" vertical="center"/>
    </xf>
    <xf numFmtId="0" fontId="15" fillId="0" borderId="154" xfId="1" applyFont="1" applyFill="1" applyBorder="1" applyAlignment="1">
      <alignment horizontal="right" vertical="center"/>
    </xf>
    <xf numFmtId="2" fontId="51" fillId="11" borderId="64" xfId="0" applyNumberFormat="1" applyFont="1" applyFill="1" applyBorder="1" applyAlignment="1">
      <alignment horizontal="center" vertical="center" wrapText="1"/>
    </xf>
    <xf numFmtId="2" fontId="51" fillId="11" borderId="65" xfId="0" applyNumberFormat="1" applyFont="1" applyFill="1" applyBorder="1" applyAlignment="1">
      <alignment horizontal="center" vertical="center" wrapText="1"/>
    </xf>
    <xf numFmtId="2" fontId="51" fillId="11" borderId="66" xfId="0" applyNumberFormat="1" applyFont="1" applyFill="1" applyBorder="1" applyAlignment="1">
      <alignment horizontal="center" vertical="center" wrapText="1"/>
    </xf>
    <xf numFmtId="0" fontId="15" fillId="0" borderId="29" xfId="1" applyFont="1" applyFill="1" applyBorder="1" applyAlignment="1">
      <alignment horizontal="center" vertical="center" wrapText="1"/>
    </xf>
    <xf numFmtId="0" fontId="15" fillId="0" borderId="16" xfId="1" applyFont="1" applyFill="1" applyBorder="1" applyAlignment="1">
      <alignment horizontal="center" vertical="center" wrapText="1"/>
    </xf>
    <xf numFmtId="0" fontId="15" fillId="0" borderId="7" xfId="1" applyFont="1" applyFill="1" applyBorder="1" applyAlignment="1">
      <alignment horizontal="center" vertical="center" wrapText="1"/>
    </xf>
    <xf numFmtId="0" fontId="15" fillId="0" borderId="18" xfId="1" applyFont="1" applyFill="1" applyBorder="1" applyAlignment="1">
      <alignment horizontal="center" vertical="center" wrapText="1"/>
    </xf>
    <xf numFmtId="0" fontId="15" fillId="0" borderId="0" xfId="1" applyFont="1" applyFill="1" applyAlignment="1">
      <alignment horizontal="center" vertical="center" wrapText="1"/>
    </xf>
    <xf numFmtId="0" fontId="15" fillId="0" borderId="8" xfId="1" applyFont="1" applyFill="1" applyBorder="1" applyAlignment="1">
      <alignment horizontal="center" vertical="center" wrapText="1"/>
    </xf>
    <xf numFmtId="0" fontId="15" fillId="0" borderId="27" xfId="1" applyFont="1" applyFill="1" applyBorder="1" applyAlignment="1">
      <alignment horizontal="center" vertical="center" wrapText="1"/>
    </xf>
    <xf numFmtId="0" fontId="15" fillId="0" borderId="28" xfId="1" applyFont="1" applyFill="1" applyBorder="1" applyAlignment="1">
      <alignment horizontal="center" vertical="center" wrapText="1"/>
    </xf>
    <xf numFmtId="0" fontId="15" fillId="0" borderId="22" xfId="1" applyFont="1" applyFill="1" applyBorder="1" applyAlignment="1">
      <alignment horizontal="center" vertical="center" wrapText="1"/>
    </xf>
    <xf numFmtId="166" fontId="14" fillId="0" borderId="13" xfId="0" applyNumberFormat="1" applyFont="1" applyBorder="1" applyAlignment="1">
      <alignment horizontal="center"/>
    </xf>
    <xf numFmtId="166" fontId="14" fillId="0" borderId="20" xfId="0" applyNumberFormat="1" applyFont="1" applyBorder="1" applyAlignment="1">
      <alignment horizontal="center"/>
    </xf>
    <xf numFmtId="166" fontId="14" fillId="0" borderId="23" xfId="0" applyNumberFormat="1" applyFont="1" applyBorder="1" applyAlignment="1">
      <alignment horizontal="center"/>
    </xf>
    <xf numFmtId="2" fontId="51" fillId="11" borderId="150" xfId="0" applyNumberFormat="1" applyFont="1" applyFill="1" applyBorder="1" applyAlignment="1">
      <alignment horizontal="center" vertical="center" wrapText="1"/>
    </xf>
    <xf numFmtId="2" fontId="51" fillId="11" borderId="151" xfId="0" applyNumberFormat="1" applyFont="1" applyFill="1" applyBorder="1" applyAlignment="1">
      <alignment horizontal="center" vertical="center" wrapText="1"/>
    </xf>
    <xf numFmtId="2" fontId="51" fillId="11" borderId="152" xfId="0" applyNumberFormat="1" applyFont="1" applyFill="1" applyBorder="1" applyAlignment="1">
      <alignment horizontal="center" vertical="center" wrapText="1"/>
    </xf>
    <xf numFmtId="0" fontId="15" fillId="0" borderId="0" xfId="1" applyFont="1" applyFill="1" applyBorder="1" applyAlignment="1">
      <alignment horizontal="left" vertical="center" wrapText="1"/>
    </xf>
    <xf numFmtId="0" fontId="14" fillId="0" borderId="0" xfId="1" applyFont="1" applyFill="1" applyBorder="1" applyAlignment="1" applyProtection="1">
      <alignment horizontal="center" vertical="top" wrapText="1"/>
      <protection locked="0"/>
    </xf>
    <xf numFmtId="165" fontId="15" fillId="0" borderId="13" xfId="0" applyNumberFormat="1" applyFont="1" applyBorder="1" applyAlignment="1">
      <alignment horizontal="center"/>
    </xf>
    <xf numFmtId="165" fontId="15" fillId="0" borderId="23" xfId="0" applyNumberFormat="1" applyFont="1" applyBorder="1" applyAlignment="1">
      <alignment horizontal="center"/>
    </xf>
    <xf numFmtId="165" fontId="14" fillId="0" borderId="13" xfId="0" applyNumberFormat="1" applyFont="1" applyFill="1" applyBorder="1" applyAlignment="1" applyProtection="1">
      <alignment horizontal="center"/>
      <protection locked="0"/>
    </xf>
    <xf numFmtId="165" fontId="14" fillId="0" borderId="23" xfId="0" applyNumberFormat="1" applyFont="1" applyFill="1" applyBorder="1" applyAlignment="1" applyProtection="1">
      <alignment horizontal="center"/>
      <protection locked="0"/>
    </xf>
    <xf numFmtId="0" fontId="15" fillId="0" borderId="13" xfId="0" applyFont="1" applyBorder="1" applyAlignment="1">
      <alignment horizontal="center"/>
    </xf>
    <xf numFmtId="0" fontId="15" fillId="0" borderId="23" xfId="0" applyFont="1" applyBorder="1" applyAlignment="1">
      <alignment horizontal="center"/>
    </xf>
    <xf numFmtId="0" fontId="15" fillId="0" borderId="29" xfId="2" applyFont="1" applyBorder="1" applyAlignment="1">
      <alignment horizontal="left" vertical="center" wrapText="1"/>
    </xf>
    <xf numFmtId="0" fontId="15" fillId="0" borderId="16" xfId="2" applyFont="1" applyBorder="1" applyAlignment="1">
      <alignment horizontal="left" vertical="center" wrapText="1"/>
    </xf>
    <xf numFmtId="0" fontId="14" fillId="0" borderId="29" xfId="1" applyFont="1" applyFill="1" applyBorder="1" applyAlignment="1">
      <alignment horizontal="left" vertical="center" wrapText="1"/>
    </xf>
    <xf numFmtId="0" fontId="14" fillId="0" borderId="16" xfId="1" applyFont="1" applyFill="1" applyBorder="1" applyAlignment="1">
      <alignment horizontal="left" vertical="center" wrapText="1"/>
    </xf>
    <xf numFmtId="0" fontId="14" fillId="0" borderId="7" xfId="1" applyFont="1" applyFill="1" applyBorder="1" applyAlignment="1">
      <alignment horizontal="left" vertical="center" wrapText="1"/>
    </xf>
    <xf numFmtId="0" fontId="14" fillId="0" borderId="27" xfId="1" applyFont="1" applyFill="1" applyBorder="1" applyAlignment="1">
      <alignment horizontal="left" vertical="center" wrapText="1"/>
    </xf>
    <xf numFmtId="0" fontId="14" fillId="0" borderId="28" xfId="1" applyFont="1" applyFill="1" applyBorder="1" applyAlignment="1">
      <alignment horizontal="left" vertical="center" wrapText="1"/>
    </xf>
    <xf numFmtId="0" fontId="14" fillId="0" borderId="22" xfId="1" applyFont="1" applyFill="1" applyBorder="1" applyAlignment="1">
      <alignment horizontal="left" vertical="center" wrapText="1"/>
    </xf>
    <xf numFmtId="0" fontId="32" fillId="0" borderId="64" xfId="0" applyFont="1" applyBorder="1" applyAlignment="1">
      <alignment horizontal="left" vertical="center" wrapText="1"/>
    </xf>
    <xf numFmtId="0" fontId="32" fillId="0" borderId="65" xfId="0" applyFont="1" applyBorder="1" applyAlignment="1">
      <alignment horizontal="left" vertical="center" wrapText="1"/>
    </xf>
    <xf numFmtId="0" fontId="32" fillId="0" borderId="66" xfId="0" applyFont="1" applyBorder="1" applyAlignment="1">
      <alignment horizontal="left" vertical="center" wrapText="1"/>
    </xf>
    <xf numFmtId="0" fontId="5" fillId="0" borderId="29" xfId="2" applyFont="1" applyFill="1" applyBorder="1" applyAlignment="1" applyProtection="1">
      <alignment horizontal="left" wrapText="1"/>
      <protection locked="0"/>
    </xf>
    <xf numFmtId="0" fontId="5" fillId="0" borderId="16" xfId="2" applyFont="1" applyFill="1" applyBorder="1" applyAlignment="1" applyProtection="1">
      <alignment horizontal="left" wrapText="1"/>
      <protection locked="0"/>
    </xf>
    <xf numFmtId="0" fontId="5" fillId="0" borderId="7" xfId="2" applyFont="1" applyFill="1" applyBorder="1" applyAlignment="1" applyProtection="1">
      <alignment horizontal="left" wrapText="1"/>
      <protection locked="0"/>
    </xf>
    <xf numFmtId="0" fontId="5" fillId="0" borderId="18" xfId="2" applyFont="1" applyFill="1" applyBorder="1" applyAlignment="1" applyProtection="1">
      <alignment horizontal="left" wrapText="1"/>
      <protection locked="0"/>
    </xf>
    <xf numFmtId="0" fontId="5" fillId="0" borderId="0" xfId="2" applyFont="1" applyFill="1" applyBorder="1" applyAlignment="1" applyProtection="1">
      <alignment horizontal="left" wrapText="1"/>
      <protection locked="0"/>
    </xf>
    <xf numFmtId="0" fontId="5" fillId="0" borderId="8" xfId="2" applyFont="1" applyFill="1" applyBorder="1" applyAlignment="1" applyProtection="1">
      <alignment horizontal="left" wrapText="1"/>
      <protection locked="0"/>
    </xf>
    <xf numFmtId="0" fontId="5" fillId="0" borderId="27" xfId="2" applyFont="1" applyFill="1" applyBorder="1" applyAlignment="1" applyProtection="1">
      <alignment horizontal="left" wrapText="1"/>
      <protection locked="0"/>
    </xf>
    <xf numFmtId="0" fontId="5" fillId="0" borderId="28" xfId="2" applyFont="1" applyFill="1" applyBorder="1" applyAlignment="1" applyProtection="1">
      <alignment horizontal="left" wrapText="1"/>
      <protection locked="0"/>
    </xf>
    <xf numFmtId="0" fontId="5" fillId="0" borderId="22" xfId="2" applyFont="1" applyFill="1" applyBorder="1" applyAlignment="1" applyProtection="1">
      <alignment horizontal="left" wrapText="1"/>
      <protection locked="0"/>
    </xf>
    <xf numFmtId="4" fontId="31" fillId="0" borderId="127" xfId="0" applyNumberFormat="1" applyFont="1" applyBorder="1" applyAlignment="1">
      <alignment horizontal="right" vertical="center" wrapText="1"/>
    </xf>
    <xf numFmtId="4" fontId="31" fillId="0" borderId="128" xfId="0" applyNumberFormat="1" applyFont="1" applyBorder="1" applyAlignment="1">
      <alignment horizontal="right" vertical="center" wrapText="1"/>
    </xf>
    <xf numFmtId="4" fontId="31" fillId="0" borderId="149" xfId="0" applyNumberFormat="1" applyFont="1" applyBorder="1" applyAlignment="1">
      <alignment horizontal="right" vertical="center" wrapText="1"/>
    </xf>
    <xf numFmtId="0" fontId="14" fillId="0" borderId="29" xfId="1" applyFont="1" applyFill="1" applyBorder="1" applyAlignment="1" applyProtection="1">
      <alignment horizontal="center" vertical="top" wrapText="1"/>
      <protection locked="0"/>
    </xf>
    <xf numFmtId="0" fontId="14" fillId="0" borderId="16" xfId="1" applyFont="1" applyFill="1" applyBorder="1" applyAlignment="1" applyProtection="1">
      <alignment horizontal="center" vertical="top" wrapText="1"/>
      <protection locked="0"/>
    </xf>
    <xf numFmtId="0" fontId="14" fillId="0" borderId="7" xfId="1" applyFont="1" applyFill="1" applyBorder="1" applyAlignment="1" applyProtection="1">
      <alignment horizontal="center" vertical="top" wrapText="1"/>
      <protection locked="0"/>
    </xf>
    <xf numFmtId="0" fontId="14" fillId="0" borderId="18" xfId="1" applyFont="1" applyFill="1" applyBorder="1" applyAlignment="1" applyProtection="1">
      <alignment horizontal="center" vertical="top" wrapText="1"/>
      <protection locked="0"/>
    </xf>
    <xf numFmtId="0" fontId="14" fillId="0" borderId="8" xfId="1" applyFont="1" applyFill="1" applyBorder="1" applyAlignment="1" applyProtection="1">
      <alignment horizontal="center" vertical="top" wrapText="1"/>
      <protection locked="0"/>
    </xf>
    <xf numFmtId="0" fontId="14" fillId="0" borderId="27" xfId="1" applyFont="1" applyFill="1" applyBorder="1" applyAlignment="1" applyProtection="1">
      <alignment horizontal="center" vertical="top" wrapText="1"/>
      <protection locked="0"/>
    </xf>
    <xf numFmtId="0" fontId="14" fillId="0" borderId="82" xfId="1" applyFont="1" applyFill="1" applyBorder="1" applyAlignment="1" applyProtection="1">
      <alignment horizontal="center" vertical="top" wrapText="1"/>
      <protection locked="0"/>
    </xf>
    <xf numFmtId="0" fontId="14" fillId="0" borderId="83" xfId="1" applyFont="1" applyFill="1" applyBorder="1" applyAlignment="1" applyProtection="1">
      <alignment horizontal="center" vertical="top" wrapText="1"/>
      <protection locked="0"/>
    </xf>
    <xf numFmtId="171" fontId="14" fillId="0" borderId="16" xfId="2" applyNumberFormat="1" applyFont="1" applyFill="1" applyBorder="1" applyAlignment="1" applyProtection="1">
      <alignment horizontal="left" vertical="center"/>
    </xf>
    <xf numFmtId="0" fontId="15" fillId="0" borderId="27" xfId="1" applyFont="1" applyFill="1" applyBorder="1" applyAlignment="1">
      <alignment horizontal="left" vertical="center"/>
    </xf>
    <xf numFmtId="0" fontId="15" fillId="0" borderId="28" xfId="1" applyFont="1" applyFill="1" applyBorder="1" applyAlignment="1">
      <alignment horizontal="left" vertical="center"/>
    </xf>
    <xf numFmtId="0" fontId="15" fillId="0" borderId="22" xfId="1" applyFont="1" applyFill="1" applyBorder="1" applyAlignment="1">
      <alignment horizontal="left" vertical="center"/>
    </xf>
    <xf numFmtId="4" fontId="31" fillId="0" borderId="64" xfId="0" applyNumberFormat="1" applyFont="1" applyBorder="1" applyAlignment="1">
      <alignment horizontal="right" vertical="center" wrapText="1"/>
    </xf>
    <xf numFmtId="4" fontId="31" fillId="0" borderId="65" xfId="0" applyNumberFormat="1" applyFont="1" applyBorder="1" applyAlignment="1">
      <alignment horizontal="right" vertical="center" wrapText="1"/>
    </xf>
    <xf numFmtId="4" fontId="31" fillId="0" borderId="130" xfId="0" applyNumberFormat="1" applyFont="1" applyBorder="1" applyAlignment="1">
      <alignment horizontal="right" vertical="center" wrapText="1"/>
    </xf>
    <xf numFmtId="4" fontId="14" fillId="0" borderId="64" xfId="0" applyNumberFormat="1" applyFont="1" applyBorder="1" applyAlignment="1">
      <alignment horizontal="right" vertical="center" wrapText="1"/>
    </xf>
    <xf numFmtId="4" fontId="14" fillId="0" borderId="65" xfId="0" applyNumberFormat="1" applyFont="1" applyBorder="1" applyAlignment="1">
      <alignment horizontal="right" vertical="center" wrapText="1"/>
    </xf>
    <xf numFmtId="4" fontId="14" fillId="0" borderId="130" xfId="0" applyNumberFormat="1" applyFont="1" applyBorder="1" applyAlignment="1">
      <alignment horizontal="right" vertical="center" wrapText="1"/>
    </xf>
    <xf numFmtId="0" fontId="54" fillId="3" borderId="0" xfId="0" applyFont="1" applyFill="1" applyBorder="1" applyAlignment="1" applyProtection="1">
      <alignment horizontal="left" vertical="center"/>
    </xf>
    <xf numFmtId="0" fontId="31" fillId="0" borderId="64" xfId="0" applyFont="1" applyBorder="1" applyAlignment="1">
      <alignment horizontal="center" vertical="center" wrapText="1"/>
    </xf>
    <xf numFmtId="0" fontId="31" fillId="0" borderId="65" xfId="0" applyFont="1" applyBorder="1" applyAlignment="1">
      <alignment horizontal="center" vertical="center" wrapText="1"/>
    </xf>
    <xf numFmtId="0" fontId="31" fillId="0" borderId="66" xfId="0" applyFont="1" applyBorder="1" applyAlignment="1">
      <alignment horizontal="center" vertical="center" wrapText="1"/>
    </xf>
    <xf numFmtId="2" fontId="31" fillId="0" borderId="134" xfId="0" applyNumberFormat="1" applyFont="1" applyBorder="1" applyAlignment="1">
      <alignment horizontal="center" vertical="center" wrapText="1"/>
    </xf>
    <xf numFmtId="2" fontId="31" fillId="0" borderId="135" xfId="0" applyNumberFormat="1" applyFont="1" applyBorder="1" applyAlignment="1">
      <alignment horizontal="center" vertical="center" wrapText="1"/>
    </xf>
    <xf numFmtId="4" fontId="14" fillId="0" borderId="134" xfId="0" applyNumberFormat="1" applyFont="1" applyBorder="1" applyAlignment="1">
      <alignment horizontal="right" vertical="center" wrapText="1"/>
    </xf>
    <xf numFmtId="4" fontId="14" fillId="0" borderId="135" xfId="0" applyNumberFormat="1" applyFont="1" applyBorder="1" applyAlignment="1">
      <alignment horizontal="right" vertical="center" wrapText="1"/>
    </xf>
    <xf numFmtId="4" fontId="31" fillId="0" borderId="134" xfId="0" applyNumberFormat="1" applyFont="1" applyBorder="1" applyAlignment="1">
      <alignment horizontal="right" vertical="center" wrapText="1"/>
    </xf>
    <xf numFmtId="4" fontId="31" fillId="0" borderId="135" xfId="0" applyNumberFormat="1" applyFont="1" applyBorder="1" applyAlignment="1">
      <alignment horizontal="right" vertical="center" wrapText="1"/>
    </xf>
    <xf numFmtId="0" fontId="15" fillId="0" borderId="13" xfId="1" applyFont="1" applyFill="1" applyBorder="1" applyAlignment="1">
      <alignment horizontal="left" vertical="center" wrapText="1"/>
    </xf>
    <xf numFmtId="43" fontId="31" fillId="12" borderId="117" xfId="5" applyFont="1" applyFill="1" applyBorder="1" applyAlignment="1" applyProtection="1">
      <alignment horizontal="center" vertical="center" wrapText="1"/>
    </xf>
    <xf numFmtId="0" fontId="31" fillId="12" borderId="117" xfId="0" applyFont="1" applyFill="1" applyBorder="1" applyAlignment="1" applyProtection="1">
      <alignment vertical="center" wrapText="1"/>
    </xf>
    <xf numFmtId="0" fontId="14" fillId="0" borderId="29" xfId="1" applyFont="1" applyFill="1" applyBorder="1" applyAlignment="1" applyProtection="1">
      <alignment horizontal="left" vertical="top" wrapText="1"/>
      <protection locked="0"/>
    </xf>
    <xf numFmtId="0" fontId="14" fillId="0" borderId="18" xfId="1" applyFont="1" applyFill="1" applyBorder="1" applyAlignment="1" applyProtection="1">
      <alignment horizontal="left" vertical="top" wrapText="1"/>
      <protection locked="0"/>
    </xf>
    <xf numFmtId="0" fontId="14" fillId="0" borderId="0" xfId="1" applyFont="1" applyFill="1" applyBorder="1" applyAlignment="1" applyProtection="1">
      <alignment horizontal="left" vertical="top" wrapText="1"/>
      <protection locked="0"/>
    </xf>
    <xf numFmtId="0" fontId="14" fillId="0" borderId="8" xfId="1" applyFont="1" applyFill="1" applyBorder="1" applyAlignment="1" applyProtection="1">
      <alignment horizontal="left" vertical="top" wrapText="1"/>
      <protection locked="0"/>
    </xf>
    <xf numFmtId="0" fontId="14" fillId="0" borderId="27" xfId="1" applyFont="1" applyFill="1" applyBorder="1" applyAlignment="1" applyProtection="1">
      <alignment horizontal="left" vertical="top" wrapText="1"/>
      <protection locked="0"/>
    </xf>
    <xf numFmtId="43" fontId="31" fillId="0" borderId="55" xfId="5" applyFont="1" applyFill="1" applyBorder="1" applyAlignment="1" applyProtection="1">
      <alignment horizontal="center" wrapText="1"/>
      <protection locked="0"/>
    </xf>
    <xf numFmtId="43" fontId="31" fillId="0" borderId="55" xfId="0" applyNumberFormat="1" applyFont="1" applyBorder="1" applyAlignment="1" applyProtection="1">
      <alignment wrapText="1"/>
      <protection locked="0"/>
    </xf>
    <xf numFmtId="1" fontId="31" fillId="9" borderId="121" xfId="0" applyNumberFormat="1" applyFont="1" applyFill="1" applyBorder="1" applyAlignment="1">
      <alignment horizontal="center" vertical="center" wrapText="1"/>
    </xf>
    <xf numFmtId="1" fontId="31" fillId="9" borderId="123" xfId="0" applyNumberFormat="1" applyFont="1" applyFill="1" applyBorder="1" applyAlignment="1">
      <alignment horizontal="center" vertical="center" wrapText="1"/>
    </xf>
    <xf numFmtId="2" fontId="32" fillId="9" borderId="121" xfId="0" applyNumberFormat="1" applyFont="1" applyFill="1" applyBorder="1" applyAlignment="1">
      <alignment horizontal="center" vertical="center" wrapText="1"/>
    </xf>
    <xf numFmtId="2" fontId="32" fillId="9" borderId="122" xfId="0" applyNumberFormat="1" applyFont="1" applyFill="1" applyBorder="1" applyAlignment="1">
      <alignment horizontal="center" vertical="center" wrapText="1"/>
    </xf>
    <xf numFmtId="2" fontId="32" fillId="9" borderId="123" xfId="0" applyNumberFormat="1" applyFont="1" applyFill="1" applyBorder="1" applyAlignment="1">
      <alignment horizontal="center" vertical="center" wrapText="1"/>
    </xf>
    <xf numFmtId="0" fontId="14" fillId="0" borderId="29" xfId="0" applyFont="1" applyBorder="1" applyAlignment="1">
      <alignment horizontal="center" vertical="center" wrapText="1"/>
    </xf>
    <xf numFmtId="0" fontId="14" fillId="0" borderId="1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5" fillId="0" borderId="141" xfId="1" applyFont="1" applyFill="1" applyBorder="1" applyAlignment="1">
      <alignment horizontal="left" vertical="center" wrapText="1"/>
    </xf>
    <xf numFmtId="0" fontId="31" fillId="0" borderId="78" xfId="0" applyFont="1" applyBorder="1" applyAlignment="1" applyProtection="1">
      <alignment horizontal="left" vertical="center"/>
      <protection locked="0"/>
    </xf>
    <xf numFmtId="0" fontId="14" fillId="0" borderId="78" xfId="0" applyFont="1" applyBorder="1" applyAlignment="1" applyProtection="1">
      <alignment horizontal="left" vertical="center"/>
      <protection locked="0"/>
    </xf>
    <xf numFmtId="43" fontId="31" fillId="0" borderId="78" xfId="5" applyFont="1" applyFill="1" applyBorder="1" applyAlignment="1" applyProtection="1">
      <alignment horizontal="center" wrapText="1"/>
      <protection locked="0"/>
    </xf>
    <xf numFmtId="43" fontId="31" fillId="0" borderId="78" xfId="0" applyNumberFormat="1" applyFont="1" applyBorder="1" applyAlignment="1" applyProtection="1">
      <alignment wrapText="1"/>
      <protection locked="0"/>
    </xf>
    <xf numFmtId="0" fontId="15" fillId="0" borderId="29" xfId="0" applyFont="1" applyBorder="1" applyAlignment="1">
      <alignment horizontal="center" vertical="center" wrapText="1"/>
    </xf>
    <xf numFmtId="0" fontId="15" fillId="0" borderId="7" xfId="0" applyFont="1" applyBorder="1" applyAlignment="1">
      <alignment horizontal="center" vertical="center" wrapText="1"/>
    </xf>
    <xf numFmtId="0" fontId="15" fillId="0" borderId="27" xfId="0" applyFont="1" applyBorder="1" applyAlignment="1">
      <alignment horizontal="center" vertical="center" wrapText="1"/>
    </xf>
    <xf numFmtId="0" fontId="15" fillId="0" borderId="22" xfId="0" applyFont="1" applyBorder="1" applyAlignment="1">
      <alignment horizontal="center" vertical="center" wrapText="1"/>
    </xf>
    <xf numFmtId="0" fontId="31" fillId="3" borderId="67" xfId="0" applyFont="1" applyFill="1" applyBorder="1" applyAlignment="1" applyProtection="1">
      <alignment horizontal="left" vertical="center" wrapText="1"/>
    </xf>
    <xf numFmtId="0" fontId="31" fillId="3" borderId="117" xfId="0" applyFont="1" applyFill="1" applyBorder="1" applyAlignment="1" applyProtection="1">
      <alignment horizontal="left" vertical="center" wrapText="1"/>
    </xf>
    <xf numFmtId="0" fontId="32" fillId="3" borderId="55" xfId="0" applyFont="1" applyFill="1" applyBorder="1" applyAlignment="1">
      <alignment horizontal="center" vertical="center"/>
    </xf>
    <xf numFmtId="0" fontId="32" fillId="3" borderId="64" xfId="0" applyFont="1" applyFill="1" applyBorder="1" applyAlignment="1">
      <alignment horizontal="center" vertical="center"/>
    </xf>
    <xf numFmtId="0" fontId="9" fillId="0" borderId="13" xfId="0" applyFont="1" applyBorder="1" applyAlignment="1">
      <alignment horizontal="center"/>
    </xf>
    <xf numFmtId="0" fontId="9" fillId="0" borderId="23" xfId="0" applyFont="1" applyBorder="1" applyAlignment="1">
      <alignment horizontal="center"/>
    </xf>
    <xf numFmtId="0" fontId="15" fillId="0" borderId="18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15" fillId="0" borderId="8" xfId="0" applyFont="1" applyBorder="1" applyAlignment="1">
      <alignment horizontal="center" vertical="center" wrapText="1"/>
    </xf>
    <xf numFmtId="0" fontId="15" fillId="0" borderId="28" xfId="0" applyFont="1" applyBorder="1" applyAlignment="1">
      <alignment horizontal="center" vertical="center" wrapText="1"/>
    </xf>
    <xf numFmtId="2" fontId="31" fillId="9" borderId="121" xfId="0" applyNumberFormat="1" applyFont="1" applyFill="1" applyBorder="1" applyAlignment="1">
      <alignment horizontal="left" vertical="center" wrapText="1"/>
    </xf>
    <xf numFmtId="2" fontId="31" fillId="9" borderId="122" xfId="0" applyNumberFormat="1" applyFont="1" applyFill="1" applyBorder="1" applyAlignment="1">
      <alignment horizontal="left" vertical="center" wrapText="1"/>
    </xf>
    <xf numFmtId="2" fontId="31" fillId="9" borderId="123" xfId="0" applyNumberFormat="1" applyFont="1" applyFill="1" applyBorder="1" applyAlignment="1">
      <alignment horizontal="left" vertical="center" wrapText="1"/>
    </xf>
    <xf numFmtId="0" fontId="31" fillId="0" borderId="124" xfId="0" applyFont="1" applyBorder="1" applyAlignment="1" applyProtection="1">
      <alignment horizontal="left" vertical="center" wrapText="1"/>
    </xf>
    <xf numFmtId="0" fontId="31" fillId="0" borderId="125" xfId="0" applyFont="1" applyBorder="1" applyAlignment="1" applyProtection="1">
      <alignment horizontal="left" vertical="center" wrapText="1"/>
    </xf>
    <xf numFmtId="0" fontId="31" fillId="0" borderId="126" xfId="0" applyFont="1" applyBorder="1" applyAlignment="1" applyProtection="1">
      <alignment horizontal="left" vertical="center" wrapText="1"/>
    </xf>
    <xf numFmtId="0" fontId="32" fillId="0" borderId="127" xfId="0" applyFont="1" applyBorder="1" applyAlignment="1">
      <alignment horizontal="left" vertical="center" wrapText="1"/>
    </xf>
    <xf numFmtId="0" fontId="32" fillId="0" borderId="128" xfId="0" applyFont="1" applyBorder="1" applyAlignment="1">
      <alignment horizontal="left" vertical="center" wrapText="1"/>
    </xf>
    <xf numFmtId="0" fontId="32" fillId="0" borderId="129" xfId="0" applyFont="1" applyBorder="1" applyAlignment="1">
      <alignment horizontal="left" vertical="center" wrapText="1"/>
    </xf>
    <xf numFmtId="4" fontId="31" fillId="3" borderId="75" xfId="5" applyNumberFormat="1" applyFont="1" applyFill="1" applyBorder="1" applyAlignment="1" applyProtection="1">
      <alignment horizontal="center" wrapText="1"/>
      <protection locked="0"/>
    </xf>
    <xf numFmtId="4" fontId="31" fillId="3" borderId="56" xfId="5" applyNumberFormat="1" applyFont="1" applyFill="1" applyBorder="1" applyAlignment="1" applyProtection="1">
      <alignment horizontal="center" wrapText="1"/>
      <protection locked="0"/>
    </xf>
    <xf numFmtId="4" fontId="31" fillId="3" borderId="56" xfId="0" applyNumberFormat="1" applyFont="1" applyFill="1" applyBorder="1" applyAlignment="1" applyProtection="1">
      <alignment wrapText="1"/>
      <protection locked="0"/>
    </xf>
    <xf numFmtId="0" fontId="15" fillId="0" borderId="64" xfId="0" applyFont="1" applyBorder="1" applyAlignment="1">
      <alignment horizontal="left" vertical="center" wrapText="1"/>
    </xf>
    <xf numFmtId="0" fontId="15" fillId="0" borderId="65" xfId="0" applyFont="1" applyBorder="1" applyAlignment="1">
      <alignment horizontal="left" vertical="center" wrapText="1"/>
    </xf>
    <xf numFmtId="0" fontId="15" fillId="0" borderId="66" xfId="0" applyFont="1" applyBorder="1" applyAlignment="1">
      <alignment horizontal="left" vertical="center" wrapText="1"/>
    </xf>
    <xf numFmtId="2" fontId="31" fillId="0" borderId="64" xfId="0" applyNumberFormat="1" applyFont="1" applyBorder="1" applyAlignment="1">
      <alignment horizontal="center" vertical="center" wrapText="1"/>
    </xf>
    <xf numFmtId="2" fontId="31" fillId="0" borderId="65" xfId="0" applyNumberFormat="1" applyFont="1" applyBorder="1" applyAlignment="1">
      <alignment horizontal="center" vertical="center" wrapText="1"/>
    </xf>
    <xf numFmtId="2" fontId="31" fillId="0" borderId="130" xfId="0" applyNumberFormat="1" applyFont="1" applyBorder="1" applyAlignment="1">
      <alignment horizontal="center" vertical="center" wrapText="1"/>
    </xf>
    <xf numFmtId="2" fontId="51" fillId="10" borderId="131" xfId="0" applyNumberFormat="1" applyFont="1" applyFill="1" applyBorder="1" applyAlignment="1">
      <alignment horizontal="center" vertical="center" wrapText="1"/>
    </xf>
    <xf numFmtId="2" fontId="51" fillId="10" borderId="132" xfId="0" applyNumberFormat="1" applyFont="1" applyFill="1" applyBorder="1" applyAlignment="1">
      <alignment horizontal="center" vertical="center" wrapText="1"/>
    </xf>
    <xf numFmtId="2" fontId="51" fillId="10" borderId="133" xfId="0" applyNumberFormat="1" applyFont="1" applyFill="1" applyBorder="1" applyAlignment="1">
      <alignment horizontal="center" vertical="center" wrapText="1"/>
    </xf>
    <xf numFmtId="2" fontId="51" fillId="11" borderId="131" xfId="0" applyNumberFormat="1" applyFont="1" applyFill="1" applyBorder="1" applyAlignment="1">
      <alignment horizontal="center" vertical="center" wrapText="1"/>
    </xf>
    <xf numFmtId="2" fontId="51" fillId="11" borderId="132" xfId="0" applyNumberFormat="1" applyFont="1" applyFill="1" applyBorder="1" applyAlignment="1">
      <alignment horizontal="center" vertical="center" wrapText="1"/>
    </xf>
    <xf numFmtId="2" fontId="51" fillId="11" borderId="133" xfId="0" applyNumberFormat="1" applyFont="1" applyFill="1" applyBorder="1" applyAlignment="1">
      <alignment horizontal="center" vertical="center" wrapText="1"/>
    </xf>
    <xf numFmtId="0" fontId="14" fillId="0" borderId="18" xfId="1" applyFont="1" applyFill="1" applyBorder="1" applyAlignment="1">
      <alignment horizontal="left" vertical="center" wrapText="1"/>
    </xf>
    <xf numFmtId="0" fontId="14" fillId="0" borderId="0" xfId="1" applyFont="1" applyFill="1" applyBorder="1" applyAlignment="1">
      <alignment horizontal="left" vertical="center" wrapText="1"/>
    </xf>
    <xf numFmtId="0" fontId="14" fillId="0" borderId="8" xfId="1" applyFont="1" applyFill="1" applyBorder="1" applyAlignment="1">
      <alignment horizontal="left" vertical="center" wrapText="1"/>
    </xf>
    <xf numFmtId="0" fontId="32" fillId="3" borderId="55" xfId="0" applyFont="1" applyFill="1" applyBorder="1" applyAlignment="1" applyProtection="1">
      <alignment horizontal="center" vertical="center"/>
    </xf>
    <xf numFmtId="0" fontId="32" fillId="3" borderId="56" xfId="0" applyFont="1" applyFill="1" applyBorder="1" applyAlignment="1">
      <alignment horizontal="center" vertical="center"/>
    </xf>
    <xf numFmtId="0" fontId="32" fillId="3" borderId="57" xfId="0" applyFont="1" applyFill="1" applyBorder="1" applyAlignment="1">
      <alignment horizontal="center" vertical="center"/>
    </xf>
    <xf numFmtId="0" fontId="35" fillId="0" borderId="73" xfId="0" applyFont="1" applyBorder="1" applyAlignment="1" applyProtection="1">
      <alignment horizontal="left" vertical="center"/>
      <protection locked="0"/>
    </xf>
    <xf numFmtId="0" fontId="31" fillId="0" borderId="73" xfId="0" applyFont="1" applyBorder="1" applyAlignment="1" applyProtection="1">
      <alignment horizontal="left" vertical="center"/>
      <protection locked="0"/>
    </xf>
    <xf numFmtId="4" fontId="31" fillId="12" borderId="117" xfId="5" applyNumberFormat="1" applyFont="1" applyFill="1" applyBorder="1" applyAlignment="1" applyProtection="1">
      <alignment horizontal="center" vertical="center" wrapText="1"/>
    </xf>
    <xf numFmtId="4" fontId="31" fillId="12" borderId="117" xfId="0" applyNumberFormat="1" applyFont="1" applyFill="1" applyBorder="1" applyAlignment="1" applyProtection="1">
      <alignment vertical="center" wrapText="1"/>
    </xf>
    <xf numFmtId="43" fontId="31" fillId="0" borderId="73" xfId="5" applyFont="1" applyFill="1" applyBorder="1" applyAlignment="1" applyProtection="1">
      <alignment horizontal="center" wrapText="1"/>
      <protection locked="0"/>
    </xf>
    <xf numFmtId="43" fontId="31" fillId="0" borderId="73" xfId="0" applyNumberFormat="1" applyFont="1" applyBorder="1" applyAlignment="1" applyProtection="1">
      <alignment wrapText="1"/>
      <protection locked="0"/>
    </xf>
    <xf numFmtId="0" fontId="35" fillId="0" borderId="55" xfId="0" applyFont="1" applyBorder="1" applyAlignment="1" applyProtection="1">
      <alignment horizontal="left" vertical="center"/>
      <protection locked="0"/>
    </xf>
    <xf numFmtId="0" fontId="31" fillId="0" borderId="55" xfId="0" applyFont="1" applyBorder="1" applyAlignment="1" applyProtection="1">
      <alignment horizontal="left" vertical="center"/>
      <protection locked="0"/>
    </xf>
    <xf numFmtId="2" fontId="32" fillId="3" borderId="117" xfId="0" applyNumberFormat="1" applyFont="1" applyFill="1" applyBorder="1" applyAlignment="1">
      <alignment wrapText="1"/>
    </xf>
    <xf numFmtId="0" fontId="32" fillId="3" borderId="117" xfId="0" applyFont="1" applyFill="1" applyBorder="1" applyAlignment="1">
      <alignment wrapText="1"/>
    </xf>
    <xf numFmtId="4" fontId="31" fillId="3" borderId="77" xfId="5" applyNumberFormat="1" applyFont="1" applyFill="1" applyBorder="1" applyAlignment="1" applyProtection="1">
      <alignment horizontal="center" wrapText="1"/>
    </xf>
    <xf numFmtId="4" fontId="31" fillId="3" borderId="78" xfId="5" applyNumberFormat="1" applyFont="1" applyFill="1" applyBorder="1" applyAlignment="1" applyProtection="1">
      <alignment horizontal="center" wrapText="1"/>
    </xf>
    <xf numFmtId="0" fontId="31" fillId="0" borderId="72" xfId="0" applyFont="1" applyBorder="1" applyAlignment="1">
      <alignment horizontal="center" vertical="center" wrapText="1"/>
    </xf>
    <xf numFmtId="0" fontId="32" fillId="3" borderId="56" xfId="0" applyFont="1" applyFill="1" applyBorder="1" applyAlignment="1" applyProtection="1">
      <alignment horizontal="left" vertical="center"/>
    </xf>
    <xf numFmtId="0" fontId="32" fillId="3" borderId="57" xfId="0" applyFont="1" applyFill="1" applyBorder="1" applyAlignment="1" applyProtection="1">
      <alignment horizontal="left" vertical="center"/>
    </xf>
    <xf numFmtId="2" fontId="32" fillId="3" borderId="56" xfId="0" applyNumberFormat="1" applyFont="1" applyFill="1" applyBorder="1" applyAlignment="1">
      <alignment wrapText="1"/>
    </xf>
    <xf numFmtId="0" fontId="32" fillId="3" borderId="56" xfId="0" applyFont="1" applyFill="1" applyBorder="1" applyAlignment="1">
      <alignment wrapText="1"/>
    </xf>
    <xf numFmtId="0" fontId="31" fillId="0" borderId="69" xfId="0" applyFont="1" applyBorder="1" applyAlignment="1">
      <alignment horizontal="center" vertical="center" wrapText="1"/>
    </xf>
    <xf numFmtId="0" fontId="31" fillId="0" borderId="70" xfId="0" applyFont="1" applyBorder="1" applyAlignment="1">
      <alignment horizontal="center" vertical="center" wrapText="1"/>
    </xf>
    <xf numFmtId="0" fontId="31" fillId="0" borderId="71" xfId="0" applyFont="1" applyBorder="1" applyAlignment="1">
      <alignment horizontal="center" vertical="center" wrapText="1"/>
    </xf>
    <xf numFmtId="4" fontId="31" fillId="3" borderId="74" xfId="5" applyNumberFormat="1" applyFont="1" applyFill="1" applyBorder="1" applyAlignment="1" applyProtection="1">
      <alignment horizontal="center" wrapText="1"/>
      <protection locked="0"/>
    </xf>
    <xf numFmtId="4" fontId="31" fillId="3" borderId="74" xfId="0" applyNumberFormat="1" applyFont="1" applyFill="1" applyBorder="1" applyAlignment="1" applyProtection="1">
      <alignment wrapText="1"/>
      <protection locked="0"/>
    </xf>
    <xf numFmtId="0" fontId="15" fillId="0" borderId="118" xfId="1" applyFont="1" applyFill="1" applyBorder="1" applyAlignment="1">
      <alignment horizontal="left" vertical="center" wrapText="1"/>
    </xf>
    <xf numFmtId="0" fontId="15" fillId="0" borderId="119" xfId="1" applyFont="1" applyFill="1" applyBorder="1" applyAlignment="1">
      <alignment horizontal="left" vertical="center" wrapText="1"/>
    </xf>
    <xf numFmtId="0" fontId="15" fillId="0" borderId="120" xfId="1" applyFont="1" applyFill="1" applyBorder="1" applyAlignment="1">
      <alignment horizontal="left" vertical="center" wrapText="1"/>
    </xf>
    <xf numFmtId="0" fontId="51" fillId="11" borderId="63" xfId="0" applyFont="1" applyFill="1" applyBorder="1" applyAlignment="1">
      <alignment horizontal="center" vertical="center" wrapText="1"/>
    </xf>
    <xf numFmtId="0" fontId="51" fillId="11" borderId="61" xfId="0" applyFont="1" applyFill="1" applyBorder="1" applyAlignment="1">
      <alignment horizontal="center" vertical="center" wrapText="1"/>
    </xf>
    <xf numFmtId="0" fontId="51" fillId="11" borderId="62" xfId="0" applyFont="1" applyFill="1" applyBorder="1" applyAlignment="1">
      <alignment horizontal="center" vertical="center" wrapText="1"/>
    </xf>
    <xf numFmtId="0" fontId="31" fillId="3" borderId="69" xfId="0" applyFont="1" applyFill="1" applyBorder="1" applyAlignment="1">
      <alignment horizontal="center" vertical="center" wrapText="1"/>
    </xf>
    <xf numFmtId="0" fontId="31" fillId="3" borderId="70" xfId="0" applyFont="1" applyFill="1" applyBorder="1" applyAlignment="1">
      <alignment horizontal="center" vertical="center" wrapText="1"/>
    </xf>
    <xf numFmtId="0" fontId="31" fillId="3" borderId="71" xfId="0" applyFont="1" applyFill="1" applyBorder="1" applyAlignment="1">
      <alignment horizontal="center" vertical="center" wrapText="1"/>
    </xf>
    <xf numFmtId="2" fontId="32" fillId="3" borderId="73" xfId="0" applyNumberFormat="1" applyFont="1" applyFill="1" applyBorder="1" applyAlignment="1">
      <alignment wrapText="1"/>
    </xf>
    <xf numFmtId="0" fontId="32" fillId="3" borderId="73" xfId="0" applyFont="1" applyFill="1" applyBorder="1" applyAlignment="1">
      <alignment wrapText="1"/>
    </xf>
    <xf numFmtId="0" fontId="31" fillId="3" borderId="67" xfId="0" applyFont="1" applyFill="1" applyBorder="1" applyAlignment="1">
      <alignment horizontal="center" vertical="center" wrapText="1"/>
    </xf>
    <xf numFmtId="0" fontId="9" fillId="0" borderId="103" xfId="1" applyFont="1" applyFill="1" applyBorder="1" applyAlignment="1">
      <alignment horizontal="left" vertical="top" wrapText="1"/>
    </xf>
    <xf numFmtId="0" fontId="9" fillId="0" borderId="104" xfId="1" applyFont="1" applyFill="1" applyBorder="1" applyAlignment="1">
      <alignment horizontal="left" vertical="top" wrapText="1"/>
    </xf>
    <xf numFmtId="0" fontId="9" fillId="0" borderId="105" xfId="1" applyFont="1" applyFill="1" applyBorder="1" applyAlignment="1">
      <alignment horizontal="left" vertical="top" wrapText="1"/>
    </xf>
    <xf numFmtId="0" fontId="9" fillId="0" borderId="106" xfId="1" applyFont="1" applyFill="1" applyBorder="1" applyAlignment="1">
      <alignment horizontal="left" vertical="top" wrapText="1"/>
    </xf>
    <xf numFmtId="0" fontId="9" fillId="0" borderId="0" xfId="1" applyFont="1" applyFill="1" applyBorder="1" applyAlignment="1">
      <alignment horizontal="left" vertical="top" wrapText="1"/>
    </xf>
    <xf numFmtId="0" fontId="9" fillId="0" borderId="107" xfId="1" applyFont="1" applyFill="1" applyBorder="1" applyAlignment="1">
      <alignment horizontal="left" vertical="top" wrapText="1"/>
    </xf>
    <xf numFmtId="0" fontId="9" fillId="0" borderId="108" xfId="1" applyFont="1" applyFill="1" applyBorder="1" applyAlignment="1">
      <alignment horizontal="left" vertical="top" wrapText="1"/>
    </xf>
    <xf numFmtId="0" fontId="9" fillId="0" borderId="109" xfId="1" applyFont="1" applyFill="1" applyBorder="1" applyAlignment="1">
      <alignment horizontal="left" vertical="top" wrapText="1"/>
    </xf>
    <xf numFmtId="0" fontId="9" fillId="0" borderId="110" xfId="1" applyFont="1" applyFill="1" applyBorder="1" applyAlignment="1">
      <alignment horizontal="left" vertical="top" wrapText="1"/>
    </xf>
    <xf numFmtId="169" fontId="14" fillId="0" borderId="28" xfId="1" applyNumberFormat="1" applyFont="1" applyFill="1" applyBorder="1" applyAlignment="1" applyProtection="1">
      <alignment horizontal="left" vertical="center"/>
      <protection locked="0"/>
    </xf>
    <xf numFmtId="169" fontId="14" fillId="0" borderId="22" xfId="1" applyNumberFormat="1" applyFont="1" applyFill="1" applyBorder="1" applyAlignment="1" applyProtection="1">
      <alignment horizontal="left" vertical="center"/>
      <protection locked="0"/>
    </xf>
    <xf numFmtId="0" fontId="12" fillId="0" borderId="13" xfId="1" applyFont="1" applyFill="1" applyBorder="1" applyAlignment="1" applyProtection="1">
      <alignment horizontal="left" vertical="center"/>
      <protection locked="0"/>
    </xf>
    <xf numFmtId="0" fontId="12" fillId="0" borderId="20" xfId="1" applyFont="1" applyFill="1" applyBorder="1" applyAlignment="1" applyProtection="1">
      <alignment horizontal="left" vertical="center"/>
      <protection locked="0"/>
    </xf>
    <xf numFmtId="0" fontId="12" fillId="0" borderId="23" xfId="1" applyFont="1" applyFill="1" applyBorder="1" applyAlignment="1" applyProtection="1">
      <alignment horizontal="left" vertical="center"/>
      <protection locked="0"/>
    </xf>
    <xf numFmtId="0" fontId="14" fillId="0" borderId="1" xfId="1" applyFont="1" applyFill="1" applyBorder="1" applyAlignment="1" applyProtection="1">
      <alignment horizontal="left" vertical="center"/>
      <protection locked="0"/>
    </xf>
    <xf numFmtId="0" fontId="14" fillId="0" borderId="13" xfId="1" applyFont="1" applyFill="1" applyBorder="1" applyAlignment="1" applyProtection="1">
      <alignment horizontal="left" vertical="center"/>
      <protection locked="0"/>
    </xf>
    <xf numFmtId="0" fontId="52" fillId="0" borderId="20" xfId="1" applyFont="1" applyFill="1" applyBorder="1" applyAlignment="1">
      <alignment horizontal="center" vertical="center" wrapText="1"/>
    </xf>
    <xf numFmtId="0" fontId="52" fillId="0" borderId="23" xfId="1" applyFont="1" applyFill="1" applyBorder="1" applyAlignment="1">
      <alignment horizontal="center" vertical="center" wrapText="1"/>
    </xf>
    <xf numFmtId="0" fontId="14" fillId="0" borderId="0" xfId="1" applyFont="1" applyFill="1" applyBorder="1" applyAlignment="1" applyProtection="1">
      <alignment horizontal="left" vertical="center"/>
      <protection locked="0"/>
    </xf>
    <xf numFmtId="0" fontId="55" fillId="13" borderId="103" xfId="1" applyFont="1" applyFill="1" applyBorder="1" applyAlignment="1">
      <alignment horizontal="center" vertical="center" wrapText="1"/>
    </xf>
    <xf numFmtId="0" fontId="55" fillId="13" borderId="104" xfId="1" applyFont="1" applyFill="1" applyBorder="1" applyAlignment="1">
      <alignment horizontal="center" vertical="center" wrapText="1"/>
    </xf>
    <xf numFmtId="0" fontId="55" fillId="13" borderId="105" xfId="1" applyFont="1" applyFill="1" applyBorder="1" applyAlignment="1">
      <alignment horizontal="center" vertical="center" wrapText="1"/>
    </xf>
    <xf numFmtId="0" fontId="55" fillId="13" borderId="106" xfId="1" applyFont="1" applyFill="1" applyBorder="1" applyAlignment="1">
      <alignment horizontal="center" vertical="center" wrapText="1"/>
    </xf>
    <xf numFmtId="0" fontId="55" fillId="13" borderId="0" xfId="1" applyFont="1" applyFill="1" applyBorder="1" applyAlignment="1">
      <alignment horizontal="center" vertical="center" wrapText="1"/>
    </xf>
    <xf numFmtId="0" fontId="55" fillId="13" borderId="107" xfId="1" applyFont="1" applyFill="1" applyBorder="1" applyAlignment="1">
      <alignment horizontal="center" vertical="center" wrapText="1"/>
    </xf>
    <xf numFmtId="0" fontId="55" fillId="13" borderId="108" xfId="1" applyFont="1" applyFill="1" applyBorder="1" applyAlignment="1">
      <alignment horizontal="center" vertical="center" wrapText="1"/>
    </xf>
    <xf numFmtId="0" fontId="55" fillId="13" borderId="109" xfId="1" applyFont="1" applyFill="1" applyBorder="1" applyAlignment="1">
      <alignment horizontal="center" vertical="center" wrapText="1"/>
    </xf>
    <xf numFmtId="0" fontId="55" fillId="13" borderId="110" xfId="1" applyFont="1" applyFill="1" applyBorder="1" applyAlignment="1">
      <alignment horizontal="center" vertical="center" wrapText="1"/>
    </xf>
    <xf numFmtId="49" fontId="15" fillId="0" borderId="13" xfId="1" applyNumberFormat="1" applyFont="1" applyFill="1" applyBorder="1" applyAlignment="1" applyProtection="1">
      <alignment vertical="center"/>
    </xf>
    <xf numFmtId="49" fontId="15" fillId="0" borderId="20" xfId="1" applyNumberFormat="1" applyFont="1" applyFill="1" applyBorder="1" applyAlignment="1" applyProtection="1">
      <alignment vertical="center"/>
    </xf>
    <xf numFmtId="49" fontId="15" fillId="0" borderId="16" xfId="1" applyNumberFormat="1" applyFont="1" applyFill="1" applyBorder="1" applyAlignment="1" applyProtection="1">
      <alignment vertical="center"/>
    </xf>
    <xf numFmtId="49" fontId="15" fillId="0" borderId="7" xfId="1" applyNumberFormat="1" applyFont="1" applyFill="1" applyBorder="1" applyAlignment="1" applyProtection="1">
      <alignment vertical="center"/>
    </xf>
    <xf numFmtId="49" fontId="15" fillId="0" borderId="23" xfId="1" applyNumberFormat="1" applyFont="1" applyFill="1" applyBorder="1" applyAlignment="1" applyProtection="1">
      <alignment vertical="center"/>
    </xf>
    <xf numFmtId="168" fontId="14" fillId="0" borderId="1" xfId="1" applyNumberFormat="1" applyFont="1" applyFill="1" applyBorder="1" applyAlignment="1" applyProtection="1">
      <alignment horizontal="center" vertical="center"/>
      <protection locked="0"/>
    </xf>
    <xf numFmtId="0" fontId="24" fillId="0" borderId="28" xfId="1" applyFont="1" applyFill="1" applyBorder="1" applyAlignment="1">
      <alignment horizontal="left" vertical="center" wrapText="1"/>
    </xf>
    <xf numFmtId="0" fontId="24" fillId="0" borderId="22" xfId="1" applyFont="1" applyFill="1" applyBorder="1" applyAlignment="1">
      <alignment horizontal="left" vertical="center" wrapText="1"/>
    </xf>
    <xf numFmtId="0" fontId="54" fillId="0" borderId="0" xfId="1" applyFont="1" applyFill="1" applyBorder="1" applyAlignment="1" applyProtection="1">
      <alignment horizontal="left" vertical="center" wrapText="1"/>
    </xf>
    <xf numFmtId="4" fontId="14" fillId="0" borderId="79" xfId="1" applyNumberFormat="1" applyFont="1" applyFill="1" applyBorder="1" applyAlignment="1" applyProtection="1">
      <alignment horizontal="center" vertical="center"/>
      <protection locked="0"/>
    </xf>
    <xf numFmtId="4" fontId="14" fillId="0" borderId="80" xfId="1" applyNumberFormat="1" applyFont="1" applyFill="1" applyBorder="1" applyAlignment="1" applyProtection="1">
      <alignment horizontal="center" vertical="center"/>
      <protection locked="0"/>
    </xf>
    <xf numFmtId="4" fontId="14" fillId="0" borderId="81" xfId="1" applyNumberFormat="1" applyFont="1" applyFill="1" applyBorder="1" applyAlignment="1" applyProtection="1">
      <alignment horizontal="center" vertical="center"/>
      <protection locked="0"/>
    </xf>
    <xf numFmtId="4" fontId="15" fillId="0" borderId="111" xfId="2" applyNumberFormat="1" applyFont="1" applyBorder="1" applyAlignment="1" applyProtection="1">
      <alignment horizontal="center" vertical="center"/>
      <protection locked="0"/>
    </xf>
    <xf numFmtId="4" fontId="15" fillId="0" borderId="112" xfId="2" applyNumberFormat="1" applyFont="1" applyBorder="1" applyAlignment="1" applyProtection="1">
      <alignment horizontal="center" vertical="center"/>
      <protection locked="0"/>
    </xf>
    <xf numFmtId="4" fontId="15" fillId="0" borderId="113" xfId="2" applyNumberFormat="1" applyFont="1" applyBorder="1" applyAlignment="1" applyProtection="1">
      <alignment horizontal="center" vertical="center"/>
      <protection locked="0"/>
    </xf>
    <xf numFmtId="4" fontId="14" fillId="0" borderId="1" xfId="1" applyNumberFormat="1" applyFont="1" applyFill="1" applyBorder="1" applyAlignment="1" applyProtection="1">
      <alignment horizontal="right" vertical="center"/>
      <protection locked="0"/>
    </xf>
    <xf numFmtId="4" fontId="14" fillId="0" borderId="13" xfId="1" applyNumberFormat="1" applyFont="1" applyFill="1" applyBorder="1" applyAlignment="1" applyProtection="1">
      <alignment horizontal="right" vertical="center"/>
      <protection locked="0"/>
    </xf>
    <xf numFmtId="4" fontId="14" fillId="0" borderId="29" xfId="1" applyNumberFormat="1" applyFont="1" applyFill="1" applyBorder="1" applyAlignment="1" applyProtection="1">
      <alignment horizontal="center" vertical="center"/>
      <protection locked="0"/>
    </xf>
    <xf numFmtId="4" fontId="14" fillId="0" borderId="16" xfId="1" applyNumberFormat="1" applyFont="1" applyFill="1" applyBorder="1" applyAlignment="1" applyProtection="1">
      <alignment horizontal="center" vertical="center"/>
      <protection locked="0"/>
    </xf>
    <xf numFmtId="4" fontId="14" fillId="0" borderId="114" xfId="1" applyNumberFormat="1" applyFont="1" applyFill="1" applyBorder="1" applyAlignment="1" applyProtection="1">
      <alignment horizontal="center" vertical="center"/>
      <protection locked="0"/>
    </xf>
    <xf numFmtId="4" fontId="14" fillId="0" borderId="18" xfId="1" applyNumberFormat="1" applyFont="1" applyFill="1" applyBorder="1" applyAlignment="1" applyProtection="1">
      <alignment horizontal="center" vertical="center"/>
      <protection locked="0"/>
    </xf>
    <xf numFmtId="4" fontId="14" fillId="0" borderId="0" xfId="1" applyNumberFormat="1" applyFont="1" applyFill="1" applyAlignment="1" applyProtection="1">
      <alignment horizontal="center" vertical="center"/>
      <protection locked="0"/>
    </xf>
    <xf numFmtId="4" fontId="14" fillId="0" borderId="54" xfId="1" applyNumberFormat="1" applyFont="1" applyFill="1" applyBorder="1" applyAlignment="1" applyProtection="1">
      <alignment horizontal="center" vertical="center"/>
      <protection locked="0"/>
    </xf>
    <xf numFmtId="0" fontId="14" fillId="0" borderId="55" xfId="0" applyFont="1" applyBorder="1" applyAlignment="1" applyProtection="1">
      <alignment horizontal="left" vertical="center"/>
      <protection locked="0"/>
    </xf>
    <xf numFmtId="0" fontId="31" fillId="0" borderId="76" xfId="0" applyFont="1" applyBorder="1" applyAlignment="1">
      <alignment horizontal="center" vertical="center" wrapText="1"/>
    </xf>
    <xf numFmtId="0" fontId="31" fillId="0" borderId="67" xfId="0" applyFont="1" applyBorder="1" applyAlignment="1" applyProtection="1">
      <alignment horizontal="left" vertical="center" wrapText="1"/>
    </xf>
    <xf numFmtId="177" fontId="31" fillId="3" borderId="75" xfId="5" applyNumberFormat="1" applyFont="1" applyFill="1" applyBorder="1" applyAlignment="1" applyProtection="1">
      <alignment horizontal="center" vertical="center" wrapText="1"/>
      <protection locked="0"/>
    </xf>
    <xf numFmtId="177" fontId="31" fillId="3" borderId="56" xfId="0" applyNumberFormat="1" applyFont="1" applyFill="1" applyBorder="1" applyAlignment="1" applyProtection="1">
      <alignment horizontal="center" vertical="center" wrapText="1"/>
      <protection locked="0"/>
    </xf>
    <xf numFmtId="0" fontId="31" fillId="3" borderId="136" xfId="0" applyFont="1" applyFill="1" applyBorder="1" applyAlignment="1" applyProtection="1">
      <alignment horizontal="left" vertical="center" wrapText="1"/>
    </xf>
    <xf numFmtId="0" fontId="31" fillId="3" borderId="137" xfId="0" applyFont="1" applyFill="1" applyBorder="1" applyAlignment="1" applyProtection="1">
      <alignment horizontal="left" vertical="center" wrapText="1"/>
    </xf>
    <xf numFmtId="0" fontId="31" fillId="3" borderId="138" xfId="0" applyFont="1" applyFill="1" applyBorder="1" applyAlignment="1" applyProtection="1">
      <alignment horizontal="left" vertical="center" wrapText="1"/>
    </xf>
    <xf numFmtId="0" fontId="31" fillId="3" borderId="139" xfId="0" applyFont="1" applyFill="1" applyBorder="1" applyAlignment="1" applyProtection="1">
      <alignment horizontal="left" vertical="center" wrapText="1"/>
    </xf>
    <xf numFmtId="0" fontId="31" fillId="3" borderId="0" xfId="0" applyFont="1" applyFill="1" applyBorder="1" applyAlignment="1" applyProtection="1">
      <alignment horizontal="left" vertical="center" wrapText="1"/>
    </xf>
    <xf numFmtId="0" fontId="31" fillId="3" borderId="140" xfId="0" applyFont="1" applyFill="1" applyBorder="1" applyAlignment="1" applyProtection="1">
      <alignment horizontal="left" vertical="center" wrapText="1"/>
    </xf>
    <xf numFmtId="0" fontId="31" fillId="3" borderId="124" xfId="0" applyFont="1" applyFill="1" applyBorder="1" applyAlignment="1" applyProtection="1">
      <alignment horizontal="left" vertical="center" wrapText="1"/>
    </xf>
    <xf numFmtId="0" fontId="31" fillId="3" borderId="125" xfId="0" applyFont="1" applyFill="1" applyBorder="1" applyAlignment="1" applyProtection="1">
      <alignment horizontal="left" vertical="center" wrapText="1"/>
    </xf>
    <xf numFmtId="0" fontId="31" fillId="3" borderId="126" xfId="0" applyFont="1" applyFill="1" applyBorder="1" applyAlignment="1" applyProtection="1">
      <alignment horizontal="left" vertical="center" wrapText="1"/>
    </xf>
    <xf numFmtId="0" fontId="32" fillId="0" borderId="76" xfId="0" applyFont="1" applyBorder="1" applyAlignment="1">
      <alignment vertical="center" wrapText="1"/>
    </xf>
    <xf numFmtId="4" fontId="31" fillId="12" borderId="67" xfId="5" applyNumberFormat="1" applyFont="1" applyFill="1" applyBorder="1" applyAlignment="1" applyProtection="1">
      <alignment horizontal="center" vertical="center" wrapText="1"/>
    </xf>
    <xf numFmtId="4" fontId="31" fillId="12" borderId="67" xfId="0" applyNumberFormat="1" applyFont="1" applyFill="1" applyBorder="1" applyAlignment="1" applyProtection="1">
      <alignment vertical="center" wrapText="1"/>
    </xf>
    <xf numFmtId="14" fontId="15" fillId="0" borderId="0" xfId="2" applyNumberFormat="1" applyFont="1" applyBorder="1" applyAlignment="1" applyProtection="1">
      <alignment horizontal="center" vertical="center" wrapText="1"/>
      <protection locked="0"/>
    </xf>
    <xf numFmtId="0" fontId="14" fillId="0" borderId="20" xfId="1" applyFont="1" applyFill="1" applyBorder="1" applyAlignment="1" applyProtection="1">
      <alignment horizontal="left" vertical="center"/>
      <protection locked="0"/>
    </xf>
    <xf numFmtId="0" fontId="14" fillId="0" borderId="23" xfId="1" applyFont="1" applyFill="1" applyBorder="1" applyAlignment="1" applyProtection="1">
      <alignment horizontal="left" vertical="center"/>
      <protection locked="0"/>
    </xf>
    <xf numFmtId="171" fontId="14" fillId="0" borderId="23" xfId="1" applyNumberFormat="1" applyFont="1" applyFill="1" applyBorder="1" applyAlignment="1" applyProtection="1">
      <alignment horizontal="left" vertical="center"/>
      <protection locked="0"/>
    </xf>
    <xf numFmtId="171" fontId="14" fillId="0" borderId="1" xfId="1" applyNumberFormat="1" applyFont="1" applyFill="1" applyBorder="1" applyAlignment="1" applyProtection="1">
      <alignment horizontal="left" vertical="center"/>
      <protection locked="0"/>
    </xf>
    <xf numFmtId="0" fontId="15" fillId="0" borderId="13" xfId="1" applyFont="1" applyFill="1" applyBorder="1" applyAlignment="1">
      <alignment horizontal="center" vertical="center"/>
    </xf>
    <xf numFmtId="0" fontId="15" fillId="0" borderId="20" xfId="1" applyFont="1" applyFill="1" applyBorder="1" applyAlignment="1">
      <alignment horizontal="center" vertical="center"/>
    </xf>
    <xf numFmtId="0" fontId="15" fillId="0" borderId="23" xfId="1" applyFont="1" applyFill="1" applyBorder="1" applyAlignment="1">
      <alignment horizontal="center" vertical="center"/>
    </xf>
    <xf numFmtId="0" fontId="15" fillId="0" borderId="13" xfId="1" applyFont="1" applyFill="1" applyBorder="1" applyAlignment="1">
      <alignment horizontal="left" vertical="center"/>
    </xf>
    <xf numFmtId="0" fontId="15" fillId="0" borderId="20" xfId="1" applyFont="1" applyFill="1" applyBorder="1" applyAlignment="1">
      <alignment horizontal="left" vertical="center"/>
    </xf>
    <xf numFmtId="0" fontId="15" fillId="0" borderId="23" xfId="1" applyFont="1" applyFill="1" applyBorder="1" applyAlignment="1">
      <alignment horizontal="left" vertical="center"/>
    </xf>
    <xf numFmtId="4" fontId="31" fillId="0" borderId="115" xfId="0" applyNumberFormat="1" applyFont="1" applyBorder="1" applyAlignment="1">
      <alignment horizontal="center" vertical="center" wrapText="1"/>
    </xf>
    <xf numFmtId="4" fontId="31" fillId="0" borderId="20" xfId="0" applyNumberFormat="1" applyFont="1" applyBorder="1" applyAlignment="1">
      <alignment horizontal="center" vertical="center" wrapText="1"/>
    </xf>
    <xf numFmtId="4" fontId="31" fillId="0" borderId="116" xfId="0" applyNumberFormat="1" applyFont="1" applyBorder="1" applyAlignment="1">
      <alignment horizontal="center" vertical="center" wrapText="1"/>
    </xf>
    <xf numFmtId="4" fontId="14" fillId="0" borderId="13" xfId="1" applyNumberFormat="1" applyFont="1" applyFill="1" applyBorder="1" applyAlignment="1" applyProtection="1">
      <alignment horizontal="center" vertical="center"/>
      <protection locked="0"/>
    </xf>
    <xf numFmtId="4" fontId="14" fillId="0" borderId="20" xfId="1" applyNumberFormat="1" applyFont="1" applyFill="1" applyBorder="1" applyAlignment="1" applyProtection="1">
      <alignment horizontal="center" vertical="center"/>
      <protection locked="0"/>
    </xf>
    <xf numFmtId="4" fontId="14" fillId="0" borderId="23" xfId="1" applyNumberFormat="1" applyFont="1" applyFill="1" applyBorder="1" applyAlignment="1" applyProtection="1">
      <alignment horizontal="center" vertical="center"/>
      <protection locked="0"/>
    </xf>
    <xf numFmtId="0" fontId="24" fillId="0" borderId="0" xfId="1" applyFont="1" applyFill="1" applyBorder="1" applyAlignment="1">
      <alignment horizontal="left" vertical="center" wrapText="1"/>
    </xf>
    <xf numFmtId="176" fontId="14" fillId="0" borderId="23" xfId="1" applyNumberFormat="1" applyFont="1" applyFill="1" applyBorder="1" applyAlignment="1" applyProtection="1">
      <alignment horizontal="center" vertical="center"/>
      <protection locked="0"/>
    </xf>
    <xf numFmtId="176" fontId="14" fillId="0" borderId="1" xfId="1" applyNumberFormat="1" applyFont="1" applyFill="1" applyBorder="1" applyAlignment="1" applyProtection="1">
      <alignment horizontal="center" vertical="center"/>
      <protection locked="0"/>
    </xf>
    <xf numFmtId="0" fontId="54" fillId="0" borderId="18" xfId="1" applyFont="1" applyFill="1" applyBorder="1" applyAlignment="1" applyProtection="1">
      <alignment horizontal="left" vertical="center" wrapText="1"/>
    </xf>
    <xf numFmtId="49" fontId="15" fillId="0" borderId="94" xfId="1" applyNumberFormat="1" applyFont="1" applyFill="1" applyBorder="1" applyAlignment="1" applyProtection="1">
      <alignment horizontal="right" vertical="center" wrapText="1"/>
    </xf>
    <xf numFmtId="49" fontId="15" fillId="0" borderId="51" xfId="1" applyNumberFormat="1" applyFont="1" applyFill="1" applyBorder="1" applyAlignment="1" applyProtection="1">
      <alignment horizontal="right" vertical="center" wrapText="1"/>
    </xf>
    <xf numFmtId="49" fontId="15" fillId="0" borderId="95" xfId="1" applyNumberFormat="1" applyFont="1" applyFill="1" applyBorder="1" applyAlignment="1" applyProtection="1">
      <alignment horizontal="right" vertical="center" wrapText="1"/>
    </xf>
    <xf numFmtId="49" fontId="15" fillId="0" borderId="49" xfId="1" applyNumberFormat="1" applyFont="1" applyFill="1" applyBorder="1" applyAlignment="1" applyProtection="1">
      <alignment horizontal="right" vertical="center" wrapText="1"/>
    </xf>
    <xf numFmtId="168" fontId="14" fillId="0" borderId="13" xfId="1" applyNumberFormat="1" applyFont="1" applyFill="1" applyBorder="1" applyAlignment="1" applyProtection="1">
      <alignment horizontal="center" vertical="center"/>
      <protection locked="0"/>
    </xf>
    <xf numFmtId="168" fontId="14" fillId="0" borderId="23" xfId="1" applyNumberFormat="1" applyFont="1" applyFill="1" applyBorder="1" applyAlignment="1" applyProtection="1">
      <alignment horizontal="center" vertical="center"/>
      <protection locked="0"/>
    </xf>
    <xf numFmtId="171" fontId="14" fillId="0" borderId="27" xfId="1" applyNumberFormat="1" applyFont="1" applyFill="1" applyBorder="1" applyAlignment="1" applyProtection="1">
      <alignment horizontal="left" vertical="center"/>
      <protection locked="0"/>
    </xf>
    <xf numFmtId="171" fontId="14" fillId="0" borderId="28" xfId="1" applyNumberFormat="1" applyFont="1" applyFill="1" applyBorder="1" applyAlignment="1" applyProtection="1">
      <alignment horizontal="left" vertical="center"/>
      <protection locked="0"/>
    </xf>
    <xf numFmtId="171" fontId="14" fillId="0" borderId="22" xfId="1" applyNumberFormat="1" applyFont="1" applyFill="1" applyBorder="1" applyAlignment="1" applyProtection="1">
      <alignment horizontal="left" vertical="center"/>
      <protection locked="0"/>
    </xf>
    <xf numFmtId="0" fontId="14" fillId="0" borderId="30" xfId="1" applyFont="1" applyFill="1" applyBorder="1" applyAlignment="1" applyProtection="1">
      <alignment horizontal="center" vertical="center"/>
      <protection locked="0"/>
    </xf>
    <xf numFmtId="0" fontId="14" fillId="0" borderId="31" xfId="1" applyFont="1" applyFill="1" applyBorder="1" applyAlignment="1" applyProtection="1">
      <alignment horizontal="center" vertical="center"/>
      <protection locked="0"/>
    </xf>
    <xf numFmtId="172" fontId="14" fillId="0" borderId="1" xfId="1" applyNumberFormat="1" applyFont="1" applyFill="1" applyBorder="1" applyAlignment="1" applyProtection="1">
      <alignment horizontal="left" vertical="center"/>
      <protection locked="0"/>
    </xf>
    <xf numFmtId="4" fontId="14" fillId="0" borderId="79" xfId="1" applyNumberFormat="1" applyFont="1" applyFill="1" applyBorder="1" applyAlignment="1" applyProtection="1">
      <alignment horizontal="left" vertical="center"/>
      <protection locked="0"/>
    </xf>
    <xf numFmtId="4" fontId="14" fillId="0" borderId="80" xfId="1" applyNumberFormat="1" applyFont="1" applyFill="1" applyBorder="1" applyAlignment="1" applyProtection="1">
      <alignment horizontal="left" vertical="center"/>
      <protection locked="0"/>
    </xf>
    <xf numFmtId="4" fontId="14" fillId="0" borderId="81" xfId="1" applyNumberFormat="1" applyFont="1" applyFill="1" applyBorder="1" applyAlignment="1" applyProtection="1">
      <alignment horizontal="left" vertical="center"/>
      <protection locked="0"/>
    </xf>
    <xf numFmtId="0" fontId="15" fillId="0" borderId="84" xfId="1" applyFont="1" applyFill="1" applyBorder="1" applyAlignment="1">
      <alignment horizontal="left" vertical="center" wrapText="1"/>
    </xf>
    <xf numFmtId="0" fontId="15" fillId="0" borderId="49" xfId="1" applyFont="1" applyFill="1" applyBorder="1" applyAlignment="1">
      <alignment horizontal="left" vertical="center" wrapText="1"/>
    </xf>
    <xf numFmtId="0" fontId="15" fillId="0" borderId="85" xfId="1" applyFont="1" applyFill="1" applyBorder="1" applyAlignment="1">
      <alignment horizontal="left" vertical="center" wrapText="1"/>
    </xf>
    <xf numFmtId="0" fontId="14" fillId="0" borderId="84" xfId="1" applyFont="1" applyFill="1" applyBorder="1" applyAlignment="1" applyProtection="1">
      <alignment horizontal="left" vertical="top" wrapText="1"/>
      <protection locked="0"/>
    </xf>
    <xf numFmtId="0" fontId="14" fillId="0" borderId="49" xfId="1" applyFont="1" applyFill="1" applyBorder="1" applyAlignment="1" applyProtection="1">
      <alignment horizontal="left" vertical="top" wrapText="1"/>
      <protection locked="0"/>
    </xf>
    <xf numFmtId="0" fontId="14" fillId="0" borderId="86" xfId="1" applyFont="1" applyFill="1" applyBorder="1" applyAlignment="1" applyProtection="1">
      <alignment horizontal="left" vertical="top" wrapText="1"/>
      <protection locked="0"/>
    </xf>
    <xf numFmtId="0" fontId="53" fillId="0" borderId="90" xfId="2" applyFont="1" applyBorder="1" applyAlignment="1">
      <alignment horizontal="left"/>
    </xf>
    <xf numFmtId="0" fontId="53" fillId="0" borderId="91" xfId="2" applyFont="1" applyBorder="1" applyAlignment="1">
      <alignment horizontal="left"/>
    </xf>
    <xf numFmtId="0" fontId="53" fillId="0" borderId="92" xfId="2" applyFont="1" applyBorder="1" applyAlignment="1">
      <alignment horizontal="left"/>
    </xf>
    <xf numFmtId="0" fontId="15" fillId="0" borderId="90" xfId="1" applyFont="1" applyFill="1" applyBorder="1" applyAlignment="1">
      <alignment horizontal="center" vertical="top" wrapText="1"/>
    </xf>
    <xf numFmtId="0" fontId="15" fillId="0" borderId="91" xfId="1" applyFont="1" applyFill="1" applyBorder="1" applyAlignment="1">
      <alignment horizontal="center" vertical="top" wrapText="1"/>
    </xf>
    <xf numFmtId="0" fontId="15" fillId="0" borderId="93" xfId="1" applyFont="1" applyFill="1" applyBorder="1" applyAlignment="1">
      <alignment horizontal="center" vertical="top" wrapText="1"/>
    </xf>
    <xf numFmtId="0" fontId="14" fillId="0" borderId="24" xfId="1" applyFont="1" applyFill="1" applyBorder="1" applyAlignment="1" applyProtection="1">
      <alignment vertical="center"/>
      <protection locked="0"/>
    </xf>
    <xf numFmtId="0" fontId="14" fillId="0" borderId="25" xfId="1" applyFont="1" applyFill="1" applyBorder="1" applyAlignment="1" applyProtection="1">
      <alignment vertical="center"/>
      <protection locked="0"/>
    </xf>
    <xf numFmtId="0" fontId="14" fillId="0" borderId="26" xfId="1" applyFont="1" applyFill="1" applyBorder="1" applyAlignment="1" applyProtection="1">
      <alignment vertical="center"/>
      <protection locked="0"/>
    </xf>
    <xf numFmtId="174" fontId="14" fillId="0" borderId="23" xfId="1" applyNumberFormat="1" applyFont="1" applyFill="1" applyBorder="1" applyAlignment="1" applyProtection="1">
      <alignment horizontal="left" vertical="center"/>
      <protection locked="0"/>
    </xf>
    <xf numFmtId="174" fontId="14" fillId="0" borderId="1" xfId="1" applyNumberFormat="1" applyFont="1" applyFill="1" applyBorder="1" applyAlignment="1" applyProtection="1">
      <alignment horizontal="left" vertical="center"/>
      <protection locked="0"/>
    </xf>
    <xf numFmtId="0" fontId="15" fillId="0" borderId="29" xfId="1" applyFont="1" applyFill="1" applyBorder="1" applyAlignment="1">
      <alignment horizontal="left" vertical="center"/>
    </xf>
    <xf numFmtId="0" fontId="15" fillId="0" borderId="16" xfId="1" applyFont="1" applyFill="1" applyBorder="1" applyAlignment="1">
      <alignment horizontal="left" vertical="center"/>
    </xf>
    <xf numFmtId="0" fontId="15" fillId="0" borderId="7" xfId="1" applyFont="1" applyFill="1" applyBorder="1" applyAlignment="1">
      <alignment horizontal="left" vertical="center"/>
    </xf>
    <xf numFmtId="0" fontId="24" fillId="9" borderId="0" xfId="1" applyFont="1" applyFill="1" applyAlignment="1">
      <alignment horizontal="center" vertical="center" wrapText="1"/>
    </xf>
    <xf numFmtId="0" fontId="10" fillId="0" borderId="0" xfId="2" applyFont="1" applyAlignment="1">
      <alignment horizontal="left" vertical="top" wrapText="1"/>
    </xf>
    <xf numFmtId="49" fontId="15" fillId="0" borderId="27" xfId="1" applyNumberFormat="1" applyFont="1" applyFill="1" applyBorder="1" applyAlignment="1">
      <alignment horizontal="left" vertical="center" wrapText="1" indent="1"/>
    </xf>
    <xf numFmtId="49" fontId="15" fillId="0" borderId="28" xfId="1" applyNumberFormat="1" applyFont="1" applyFill="1" applyBorder="1" applyAlignment="1">
      <alignment horizontal="left" vertical="center" wrapText="1" indent="1"/>
    </xf>
    <xf numFmtId="49" fontId="15" fillId="0" borderId="22" xfId="1" applyNumberFormat="1" applyFont="1" applyFill="1" applyBorder="1" applyAlignment="1">
      <alignment horizontal="left" vertical="center" wrapText="1" indent="1"/>
    </xf>
    <xf numFmtId="0" fontId="12" fillId="0" borderId="13" xfId="0" applyFont="1" applyBorder="1" applyAlignment="1">
      <alignment horizontal="center" vertical="center"/>
    </xf>
    <xf numFmtId="0" fontId="12" fillId="0" borderId="20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10" fillId="0" borderId="13" xfId="2" applyFont="1" applyBorder="1" applyAlignment="1">
      <alignment horizontal="left" vertical="center" wrapText="1"/>
    </xf>
    <xf numFmtId="0" fontId="10" fillId="0" borderId="20" xfId="2" applyFont="1" applyBorder="1" applyAlignment="1">
      <alignment horizontal="left" vertical="center" wrapText="1"/>
    </xf>
    <xf numFmtId="0" fontId="10" fillId="0" borderId="23" xfId="2" applyFont="1" applyBorder="1" applyAlignment="1">
      <alignment horizontal="left" vertical="center" wrapText="1"/>
    </xf>
    <xf numFmtId="0" fontId="13" fillId="0" borderId="13" xfId="2" applyFont="1" applyBorder="1" applyAlignment="1">
      <alignment horizontal="left" vertical="center" wrapText="1"/>
    </xf>
    <xf numFmtId="0" fontId="32" fillId="3" borderId="56" xfId="0" applyFont="1" applyFill="1" applyBorder="1" applyAlignment="1" applyProtection="1">
      <alignment horizontal="center" vertical="center"/>
    </xf>
    <xf numFmtId="4" fontId="31" fillId="3" borderId="61" xfId="5" applyNumberFormat="1" applyFont="1" applyFill="1" applyBorder="1" applyAlignment="1" applyProtection="1">
      <alignment horizontal="center" wrapText="1"/>
      <protection locked="0"/>
    </xf>
    <xf numFmtId="4" fontId="31" fillId="3" borderId="62" xfId="5" applyNumberFormat="1" applyFont="1" applyFill="1" applyBorder="1" applyAlignment="1" applyProtection="1">
      <alignment horizontal="center" wrapText="1"/>
      <protection locked="0"/>
    </xf>
    <xf numFmtId="4" fontId="15" fillId="0" borderId="96" xfId="2" applyNumberFormat="1" applyFont="1" applyBorder="1" applyAlignment="1" applyProtection="1">
      <alignment horizontal="center" vertical="center"/>
      <protection locked="0"/>
    </xf>
    <xf numFmtId="4" fontId="15" fillId="0" borderId="97" xfId="2" applyNumberFormat="1" applyFont="1" applyBorder="1" applyAlignment="1" applyProtection="1">
      <alignment horizontal="center" vertical="center"/>
      <protection locked="0"/>
    </xf>
    <xf numFmtId="4" fontId="15" fillId="0" borderId="98" xfId="2" applyNumberFormat="1" applyFont="1" applyBorder="1" applyAlignment="1" applyProtection="1">
      <alignment horizontal="center" vertical="center"/>
      <protection locked="0"/>
    </xf>
    <xf numFmtId="4" fontId="15" fillId="0" borderId="99" xfId="2" applyNumberFormat="1" applyFont="1" applyBorder="1" applyAlignment="1" applyProtection="1">
      <alignment horizontal="center" vertical="center"/>
      <protection locked="0"/>
    </xf>
    <xf numFmtId="4" fontId="15" fillId="0" borderId="100" xfId="2" applyNumberFormat="1" applyFont="1" applyBorder="1" applyAlignment="1" applyProtection="1">
      <alignment horizontal="center" vertical="center"/>
      <protection locked="0"/>
    </xf>
    <xf numFmtId="4" fontId="15" fillId="0" borderId="101" xfId="2" applyNumberFormat="1" applyFont="1" applyBorder="1" applyAlignment="1" applyProtection="1">
      <alignment horizontal="center" vertical="center"/>
      <protection locked="0"/>
    </xf>
    <xf numFmtId="0" fontId="14" fillId="0" borderId="13" xfId="1" applyFont="1" applyFill="1" applyBorder="1" applyAlignment="1">
      <alignment horizontal="left" vertical="center"/>
    </xf>
    <xf numFmtId="0" fontId="14" fillId="0" borderId="20" xfId="1" applyFont="1" applyFill="1" applyBorder="1" applyAlignment="1">
      <alignment horizontal="left" vertical="center"/>
    </xf>
    <xf numFmtId="0" fontId="14" fillId="0" borderId="16" xfId="1" applyFont="1" applyFill="1" applyBorder="1" applyAlignment="1">
      <alignment horizontal="left" vertical="center"/>
    </xf>
    <xf numFmtId="0" fontId="14" fillId="0" borderId="36" xfId="1" applyFont="1" applyFill="1" applyBorder="1" applyAlignment="1">
      <alignment horizontal="left" vertical="center"/>
    </xf>
    <xf numFmtId="0" fontId="15" fillId="0" borderId="147" xfId="1" applyFont="1" applyFill="1" applyBorder="1" applyAlignment="1">
      <alignment vertical="center"/>
    </xf>
    <xf numFmtId="0" fontId="15" fillId="0" borderId="37" xfId="1" applyFont="1" applyFill="1" applyBorder="1" applyAlignment="1">
      <alignment vertical="center"/>
    </xf>
    <xf numFmtId="0" fontId="15" fillId="0" borderId="148" xfId="1" applyFont="1" applyFill="1" applyBorder="1" applyAlignment="1">
      <alignment vertical="center"/>
    </xf>
    <xf numFmtId="0" fontId="13" fillId="0" borderId="20" xfId="2" applyFont="1" applyBorder="1" applyAlignment="1">
      <alignment horizontal="left" vertical="center" wrapText="1"/>
    </xf>
    <xf numFmtId="0" fontId="13" fillId="0" borderId="23" xfId="2" applyFont="1" applyBorder="1" applyAlignment="1">
      <alignment horizontal="left" vertical="center" wrapText="1"/>
    </xf>
    <xf numFmtId="0" fontId="10" fillId="0" borderId="0" xfId="2" applyFont="1" applyAlignment="1">
      <alignment horizontal="left" vertical="center" wrapText="1"/>
    </xf>
    <xf numFmtId="0" fontId="0" fillId="5" borderId="27" xfId="0" applyFill="1" applyBorder="1" applyAlignment="1" applyProtection="1">
      <alignment horizontal="center"/>
      <protection locked="0"/>
    </xf>
    <xf numFmtId="0" fontId="0" fillId="5" borderId="28" xfId="0" applyFill="1" applyBorder="1" applyAlignment="1" applyProtection="1">
      <alignment horizontal="center"/>
      <protection locked="0"/>
    </xf>
    <xf numFmtId="0" fontId="0" fillId="5" borderId="22" xfId="0" applyFill="1" applyBorder="1" applyAlignment="1" applyProtection="1">
      <alignment horizontal="center"/>
      <protection locked="0"/>
    </xf>
    <xf numFmtId="0" fontId="14" fillId="0" borderId="28" xfId="1" applyFont="1" applyFill="1" applyBorder="1" applyAlignment="1" applyProtection="1">
      <alignment horizontal="left" vertical="center" shrinkToFit="1"/>
    </xf>
    <xf numFmtId="0" fontId="14" fillId="0" borderId="28" xfId="1" applyFont="1" applyFill="1" applyBorder="1" applyAlignment="1" applyProtection="1">
      <alignment horizontal="left" vertical="center" shrinkToFit="1"/>
      <protection locked="0"/>
    </xf>
    <xf numFmtId="2" fontId="51" fillId="10" borderId="63" xfId="0" applyNumberFormat="1" applyFont="1" applyFill="1" applyBorder="1" applyAlignment="1">
      <alignment horizontal="center" vertical="center" wrapText="1"/>
    </xf>
    <xf numFmtId="2" fontId="51" fillId="10" borderId="61" xfId="0" applyNumberFormat="1" applyFont="1" applyFill="1" applyBorder="1" applyAlignment="1">
      <alignment horizontal="center" vertical="center" wrapText="1"/>
    </xf>
    <xf numFmtId="2" fontId="51" fillId="10" borderId="62" xfId="0" applyNumberFormat="1" applyFont="1" applyFill="1" applyBorder="1" applyAlignment="1">
      <alignment horizontal="center" vertical="center" wrapText="1"/>
    </xf>
    <xf numFmtId="0" fontId="15" fillId="0" borderId="21" xfId="2" applyFont="1" applyBorder="1" applyAlignment="1">
      <alignment horizontal="left" vertical="center"/>
    </xf>
    <xf numFmtId="0" fontId="15" fillId="0" borderId="18" xfId="2" applyFont="1" applyBorder="1" applyAlignment="1">
      <alignment horizontal="left" vertical="center"/>
    </xf>
    <xf numFmtId="0" fontId="6" fillId="0" borderId="2" xfId="2" applyFont="1" applyBorder="1" applyAlignment="1">
      <alignment horizontal="center" vertical="center"/>
    </xf>
    <xf numFmtId="0" fontId="8" fillId="0" borderId="0" xfId="2" applyFont="1" applyAlignment="1">
      <alignment horizontal="center" vertical="center"/>
    </xf>
    <xf numFmtId="0" fontId="11" fillId="0" borderId="0" xfId="2" applyFont="1" applyAlignment="1">
      <alignment horizontal="center" vertical="center"/>
    </xf>
    <xf numFmtId="0" fontId="21" fillId="0" borderId="13" xfId="2" applyFont="1" applyBorder="1" applyAlignment="1">
      <alignment horizontal="left" vertical="center" wrapText="1"/>
    </xf>
    <xf numFmtId="0" fontId="21" fillId="0" borderId="20" xfId="2" applyFont="1" applyBorder="1" applyAlignment="1">
      <alignment horizontal="left" vertical="center" wrapText="1"/>
    </xf>
    <xf numFmtId="0" fontId="21" fillId="0" borderId="23" xfId="2" applyFont="1" applyBorder="1" applyAlignment="1">
      <alignment horizontal="left" vertical="center" wrapText="1"/>
    </xf>
    <xf numFmtId="0" fontId="13" fillId="6" borderId="0" xfId="2" applyFont="1" applyFill="1" applyAlignment="1">
      <alignment horizontal="center" vertical="center" wrapText="1"/>
    </xf>
    <xf numFmtId="0" fontId="7" fillId="5" borderId="24" xfId="0" applyFont="1" applyFill="1" applyBorder="1" applyAlignment="1" applyProtection="1">
      <alignment horizontal="center"/>
      <protection locked="0"/>
    </xf>
    <xf numFmtId="0" fontId="7" fillId="5" borderId="25" xfId="0" applyFont="1" applyFill="1" applyBorder="1" applyAlignment="1" applyProtection="1">
      <alignment horizontal="center"/>
      <protection locked="0"/>
    </xf>
    <xf numFmtId="0" fontId="7" fillId="5" borderId="26" xfId="0" applyFont="1" applyFill="1" applyBorder="1" applyAlignment="1" applyProtection="1">
      <alignment horizontal="center"/>
      <protection locked="0"/>
    </xf>
    <xf numFmtId="0" fontId="15" fillId="0" borderId="32" xfId="2" applyFont="1" applyBorder="1" applyAlignment="1">
      <alignment horizontal="center"/>
    </xf>
    <xf numFmtId="0" fontId="15" fillId="0" borderId="0" xfId="2" applyFont="1" applyAlignment="1">
      <alignment horizontal="center"/>
    </xf>
    <xf numFmtId="0" fontId="15" fillId="0" borderId="11" xfId="2" applyFont="1" applyBorder="1" applyAlignment="1">
      <alignment horizontal="center"/>
    </xf>
    <xf numFmtId="0" fontId="16" fillId="0" borderId="2" xfId="2" applyFont="1" applyBorder="1" applyAlignment="1">
      <alignment horizontal="center" vertical="center"/>
    </xf>
    <xf numFmtId="0" fontId="22" fillId="0" borderId="33" xfId="2" applyNumberFormat="1" applyFont="1" applyBorder="1" applyAlignment="1">
      <alignment horizontal="center" vertical="top"/>
    </xf>
    <xf numFmtId="0" fontId="22" fillId="0" borderId="2" xfId="2" applyNumberFormat="1" applyFont="1" applyBorder="1" applyAlignment="1">
      <alignment horizontal="center" vertical="top"/>
    </xf>
    <xf numFmtId="0" fontId="22" fillId="0" borderId="34" xfId="2" applyNumberFormat="1" applyFont="1" applyBorder="1" applyAlignment="1">
      <alignment horizontal="center" vertical="top"/>
    </xf>
    <xf numFmtId="0" fontId="14" fillId="0" borderId="16" xfId="2" applyFont="1" applyFill="1" applyBorder="1" applyAlignment="1" applyProtection="1">
      <alignment horizontal="left" vertical="center"/>
    </xf>
    <xf numFmtId="0" fontId="17" fillId="0" borderId="4" xfId="2" applyFont="1" applyBorder="1" applyAlignment="1">
      <alignment horizontal="center" vertical="center"/>
    </xf>
    <xf numFmtId="0" fontId="5" fillId="0" borderId="29" xfId="2" applyFont="1" applyBorder="1" applyAlignment="1" applyProtection="1">
      <alignment horizontal="center" wrapText="1"/>
      <protection locked="0"/>
    </xf>
    <xf numFmtId="0" fontId="5" fillId="0" borderId="16" xfId="2" applyFont="1" applyBorder="1" applyAlignment="1" applyProtection="1">
      <alignment horizontal="center" wrapText="1"/>
      <protection locked="0"/>
    </xf>
    <xf numFmtId="0" fontId="5" fillId="0" borderId="7" xfId="2" applyFont="1" applyBorder="1" applyAlignment="1" applyProtection="1">
      <alignment horizontal="center" wrapText="1"/>
      <protection locked="0"/>
    </xf>
    <xf numFmtId="0" fontId="5" fillId="0" borderId="18" xfId="2" applyFont="1" applyBorder="1" applyAlignment="1" applyProtection="1">
      <alignment horizontal="center" wrapText="1"/>
      <protection locked="0"/>
    </xf>
    <xf numFmtId="0" fontId="5" fillId="0" borderId="0" xfId="2" applyFont="1" applyBorder="1" applyAlignment="1" applyProtection="1">
      <alignment horizontal="center" wrapText="1"/>
      <protection locked="0"/>
    </xf>
    <xf numFmtId="0" fontId="5" fillId="0" borderId="8" xfId="2" applyFont="1" applyBorder="1" applyAlignment="1" applyProtection="1">
      <alignment horizontal="center" wrapText="1"/>
      <protection locked="0"/>
    </xf>
    <xf numFmtId="0" fontId="5" fillId="0" borderId="18" xfId="2" applyFont="1" applyBorder="1" applyAlignment="1" applyProtection="1">
      <alignment horizontal="left" wrapText="1"/>
      <protection locked="0"/>
    </xf>
    <xf numFmtId="0" fontId="5" fillId="0" borderId="0" xfId="2" applyFont="1" applyBorder="1" applyAlignment="1" applyProtection="1">
      <alignment horizontal="left" wrapText="1"/>
      <protection locked="0"/>
    </xf>
    <xf numFmtId="0" fontId="5" fillId="0" borderId="8" xfId="2" applyFont="1" applyBorder="1" applyAlignment="1" applyProtection="1">
      <alignment horizontal="left" wrapText="1"/>
      <protection locked="0"/>
    </xf>
    <xf numFmtId="0" fontId="5" fillId="0" borderId="27" xfId="2" applyFont="1" applyBorder="1" applyAlignment="1" applyProtection="1">
      <alignment horizontal="left" wrapText="1"/>
      <protection locked="0"/>
    </xf>
    <xf numFmtId="0" fontId="5" fillId="0" borderId="28" xfId="2" applyFont="1" applyBorder="1" applyAlignment="1" applyProtection="1">
      <alignment horizontal="left" wrapText="1"/>
      <protection locked="0"/>
    </xf>
    <xf numFmtId="0" fontId="5" fillId="0" borderId="22" xfId="2" applyFont="1" applyBorder="1" applyAlignment="1" applyProtection="1">
      <alignment horizontal="left" wrapText="1"/>
      <protection locked="0"/>
    </xf>
    <xf numFmtId="171" fontId="14" fillId="0" borderId="16" xfId="2" applyNumberFormat="1" applyFont="1" applyBorder="1" applyAlignment="1" applyProtection="1">
      <alignment horizontal="left" vertical="center"/>
      <protection locked="0"/>
    </xf>
    <xf numFmtId="0" fontId="15" fillId="0" borderId="189" xfId="2" applyFont="1" applyBorder="1" applyAlignment="1">
      <alignment horizontal="justify" vertical="center" wrapText="1"/>
    </xf>
    <xf numFmtId="0" fontId="15" fillId="0" borderId="190" xfId="2" applyFont="1" applyBorder="1" applyAlignment="1">
      <alignment horizontal="justify" vertical="center" wrapText="1"/>
    </xf>
    <xf numFmtId="0" fontId="15" fillId="0" borderId="191" xfId="2" applyFont="1" applyBorder="1" applyAlignment="1">
      <alignment horizontal="justify" vertical="center" wrapText="1"/>
    </xf>
    <xf numFmtId="0" fontId="15" fillId="0" borderId="192" xfId="2" applyFont="1" applyBorder="1" applyAlignment="1">
      <alignment horizontal="justify" vertical="center" wrapText="1"/>
    </xf>
    <xf numFmtId="0" fontId="15" fillId="0" borderId="0" xfId="2" applyFont="1" applyAlignment="1">
      <alignment horizontal="justify" vertical="center" wrapText="1"/>
    </xf>
    <xf numFmtId="0" fontId="15" fillId="0" borderId="193" xfId="2" applyFont="1" applyBorder="1" applyAlignment="1">
      <alignment horizontal="justify" vertical="center" wrapText="1"/>
    </xf>
    <xf numFmtId="0" fontId="15" fillId="0" borderId="194" xfId="2" applyFont="1" applyBorder="1" applyAlignment="1">
      <alignment horizontal="justify" vertical="center" wrapText="1"/>
    </xf>
    <xf numFmtId="0" fontId="15" fillId="0" borderId="164" xfId="2" applyFont="1" applyBorder="1" applyAlignment="1">
      <alignment horizontal="justify" vertical="center" wrapText="1"/>
    </xf>
    <xf numFmtId="0" fontId="15" fillId="0" borderId="195" xfId="2" applyFont="1" applyBorder="1" applyAlignment="1">
      <alignment horizontal="justify" vertical="center" wrapText="1"/>
    </xf>
    <xf numFmtId="0" fontId="15" fillId="0" borderId="43" xfId="2" applyFont="1" applyBorder="1" applyAlignment="1">
      <alignment horizontal="left" vertical="center" wrapText="1"/>
    </xf>
    <xf numFmtId="0" fontId="14" fillId="0" borderId="16" xfId="2" applyFont="1" applyBorder="1" applyAlignment="1" applyProtection="1">
      <alignment horizontal="left" vertical="center"/>
      <protection locked="0"/>
    </xf>
    <xf numFmtId="2" fontId="14" fillId="0" borderId="178" xfId="1" applyNumberFormat="1" applyFont="1" applyFill="1" applyBorder="1" applyAlignment="1">
      <alignment horizontal="center" vertical="center"/>
    </xf>
    <xf numFmtId="2" fontId="5" fillId="8" borderId="178" xfId="1" applyNumberFormat="1" applyFont="1" applyFill="1" applyBorder="1" applyAlignment="1">
      <alignment horizontal="center" vertical="center" wrapText="1"/>
    </xf>
    <xf numFmtId="2" fontId="14" fillId="12" borderId="179" xfId="1" applyNumberFormat="1" applyFont="1" applyFill="1" applyBorder="1" applyAlignment="1">
      <alignment horizontal="center" vertical="center"/>
    </xf>
    <xf numFmtId="2" fontId="14" fillId="12" borderId="180" xfId="1" applyNumberFormat="1" applyFont="1" applyFill="1" applyBorder="1" applyAlignment="1">
      <alignment horizontal="center" vertical="center"/>
    </xf>
    <xf numFmtId="0" fontId="19" fillId="7" borderId="155" xfId="1" applyFont="1" applyFill="1" applyBorder="1" applyAlignment="1">
      <alignment horizontal="left" vertical="center" wrapText="1"/>
    </xf>
    <xf numFmtId="0" fontId="19" fillId="7" borderId="156" xfId="1" applyFont="1" applyFill="1" applyBorder="1" applyAlignment="1">
      <alignment horizontal="left" vertical="center" wrapText="1"/>
    </xf>
    <xf numFmtId="0" fontId="19" fillId="7" borderId="157" xfId="1" applyFont="1" applyFill="1" applyBorder="1" applyAlignment="1">
      <alignment horizontal="left" vertical="center" wrapText="1"/>
    </xf>
    <xf numFmtId="0" fontId="15" fillId="0" borderId="29" xfId="2" applyFont="1" applyBorder="1" applyAlignment="1">
      <alignment horizontal="left" vertical="center"/>
    </xf>
    <xf numFmtId="0" fontId="15" fillId="0" borderId="16" xfId="2" applyFont="1" applyBorder="1" applyAlignment="1">
      <alignment horizontal="left" vertical="center"/>
    </xf>
    <xf numFmtId="0" fontId="14" fillId="9" borderId="1" xfId="1" applyFont="1" applyFill="1" applyBorder="1" applyAlignment="1" applyProtection="1">
      <alignment horizontal="left" vertical="center"/>
      <protection locked="0"/>
    </xf>
    <xf numFmtId="0" fontId="5" fillId="0" borderId="1" xfId="1" applyFont="1" applyFill="1" applyBorder="1" applyAlignment="1">
      <alignment horizontal="center" vertical="center" wrapText="1"/>
    </xf>
    <xf numFmtId="0" fontId="5" fillId="3" borderId="29" xfId="3" applyFont="1" applyFill="1" applyBorder="1" applyAlignment="1" applyProtection="1">
      <alignment horizontal="left" vertical="center" wrapText="1"/>
    </xf>
    <xf numFmtId="0" fontId="5" fillId="3" borderId="16" xfId="3" applyFont="1" applyFill="1" applyBorder="1" applyAlignment="1" applyProtection="1">
      <alignment horizontal="left" vertical="center" wrapText="1"/>
    </xf>
    <xf numFmtId="0" fontId="5" fillId="3" borderId="27" xfId="3" applyFont="1" applyFill="1" applyBorder="1" applyAlignment="1" applyProtection="1">
      <alignment horizontal="left" vertical="center" wrapText="1"/>
    </xf>
    <xf numFmtId="0" fontId="5" fillId="3" borderId="28" xfId="3" applyFont="1" applyFill="1" applyBorder="1" applyAlignment="1" applyProtection="1">
      <alignment horizontal="left" vertical="center" wrapText="1"/>
    </xf>
    <xf numFmtId="14" fontId="5" fillId="0" borderId="13" xfId="1" applyNumberFormat="1" applyFont="1" applyFill="1" applyBorder="1" applyAlignment="1">
      <alignment horizontal="right" vertical="center" wrapText="1"/>
    </xf>
    <xf numFmtId="14" fontId="5" fillId="0" borderId="20" xfId="1" applyNumberFormat="1" applyFont="1" applyFill="1" applyBorder="1" applyAlignment="1">
      <alignment horizontal="right" vertical="center" wrapText="1"/>
    </xf>
    <xf numFmtId="14" fontId="5" fillId="0" borderId="23" xfId="1" applyNumberFormat="1" applyFont="1" applyFill="1" applyBorder="1" applyAlignment="1">
      <alignment horizontal="right" vertical="center" wrapText="1"/>
    </xf>
    <xf numFmtId="0" fontId="3" fillId="0" borderId="181" xfId="2" applyFont="1" applyBorder="1" applyAlignment="1">
      <alignment horizontal="center" vertical="center" wrapText="1" shrinkToFit="1"/>
    </xf>
    <xf numFmtId="0" fontId="3" fillId="0" borderId="182" xfId="2" applyFont="1" applyBorder="1" applyAlignment="1">
      <alignment horizontal="center" vertical="center" wrapText="1" shrinkToFit="1"/>
    </xf>
    <xf numFmtId="0" fontId="3" fillId="0" borderId="183" xfId="2" applyFont="1" applyBorder="1" applyAlignment="1">
      <alignment horizontal="center" vertical="center" wrapText="1" shrinkToFit="1"/>
    </xf>
    <xf numFmtId="0" fontId="3" fillId="0" borderId="169" xfId="2" applyFont="1" applyBorder="1" applyAlignment="1">
      <alignment horizontal="center" vertical="center" wrapText="1" shrinkToFit="1"/>
    </xf>
    <xf numFmtId="0" fontId="3" fillId="0" borderId="0" xfId="2" applyFont="1" applyBorder="1" applyAlignment="1">
      <alignment horizontal="center" vertical="center" wrapText="1" shrinkToFit="1"/>
    </xf>
    <xf numFmtId="0" fontId="3" fillId="0" borderId="170" xfId="2" applyFont="1" applyBorder="1" applyAlignment="1">
      <alignment horizontal="center" vertical="center" wrapText="1" shrinkToFit="1"/>
    </xf>
    <xf numFmtId="0" fontId="3" fillId="0" borderId="184" xfId="2" applyFont="1" applyBorder="1" applyAlignment="1">
      <alignment horizontal="center" vertical="center" wrapText="1" shrinkToFit="1"/>
    </xf>
    <xf numFmtId="0" fontId="3" fillId="0" borderId="82" xfId="2" applyFont="1" applyBorder="1" applyAlignment="1">
      <alignment horizontal="center" vertical="center" wrapText="1" shrinkToFit="1"/>
    </xf>
    <xf numFmtId="0" fontId="3" fillId="0" borderId="83" xfId="2" applyFont="1" applyBorder="1" applyAlignment="1">
      <alignment horizontal="center" vertical="center" wrapText="1" shrinkToFit="1"/>
    </xf>
    <xf numFmtId="0" fontId="5" fillId="8" borderId="178" xfId="1" applyFont="1" applyFill="1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2" fontId="14" fillId="0" borderId="185" xfId="1" applyNumberFormat="1" applyFont="1" applyFill="1" applyBorder="1" applyAlignment="1" applyProtection="1">
      <alignment horizontal="center" vertical="center"/>
      <protection locked="0"/>
    </xf>
    <xf numFmtId="2" fontId="14" fillId="0" borderId="159" xfId="1" applyNumberFormat="1" applyFont="1" applyFill="1" applyBorder="1" applyAlignment="1" applyProtection="1">
      <alignment horizontal="center" vertical="center"/>
      <protection locked="0"/>
    </xf>
    <xf numFmtId="2" fontId="14" fillId="0" borderId="186" xfId="1" applyNumberFormat="1" applyFont="1" applyFill="1" applyBorder="1" applyAlignment="1" applyProtection="1">
      <alignment horizontal="center" vertical="center"/>
      <protection locked="0"/>
    </xf>
    <xf numFmtId="2" fontId="14" fillId="0" borderId="187" xfId="1" applyNumberFormat="1" applyFont="1" applyFill="1" applyBorder="1" applyAlignment="1" applyProtection="1">
      <alignment horizontal="center" vertical="center"/>
      <protection locked="0"/>
    </xf>
    <xf numFmtId="2" fontId="14" fillId="0" borderId="162" xfId="1" applyNumberFormat="1" applyFont="1" applyFill="1" applyBorder="1" applyAlignment="1" applyProtection="1">
      <alignment horizontal="center" vertical="center"/>
      <protection locked="0"/>
    </xf>
    <xf numFmtId="2" fontId="14" fillId="0" borderId="188" xfId="1" applyNumberFormat="1" applyFont="1" applyFill="1" applyBorder="1" applyAlignment="1" applyProtection="1">
      <alignment horizontal="center" vertical="center"/>
      <protection locked="0"/>
    </xf>
    <xf numFmtId="2" fontId="14" fillId="7" borderId="179" xfId="1" applyNumberFormat="1" applyFont="1" applyFill="1" applyBorder="1" applyAlignment="1">
      <alignment horizontal="center" vertical="center"/>
    </xf>
    <xf numFmtId="2" fontId="14" fillId="7" borderId="180" xfId="1" applyNumberFormat="1" applyFont="1" applyFill="1" applyBorder="1" applyAlignment="1">
      <alignment horizontal="center" vertical="center"/>
    </xf>
    <xf numFmtId="2" fontId="14" fillId="0" borderId="1" xfId="1" applyNumberFormat="1" applyFont="1" applyFill="1" applyBorder="1" applyAlignment="1" applyProtection="1">
      <alignment horizontal="center" vertical="center"/>
    </xf>
    <xf numFmtId="9" fontId="15" fillId="5" borderId="24" xfId="0" applyNumberFormat="1" applyFont="1" applyFill="1" applyBorder="1" applyAlignment="1" applyProtection="1">
      <alignment horizontal="center"/>
      <protection locked="0"/>
    </xf>
    <xf numFmtId="0" fontId="15" fillId="5" borderId="25" xfId="0" applyFont="1" applyFill="1" applyBorder="1" applyAlignment="1" applyProtection="1">
      <alignment horizontal="center"/>
      <protection locked="0"/>
    </xf>
    <xf numFmtId="0" fontId="15" fillId="5" borderId="26" xfId="0" applyFont="1" applyFill="1" applyBorder="1" applyAlignment="1" applyProtection="1">
      <alignment horizontal="center"/>
      <protection locked="0"/>
    </xf>
    <xf numFmtId="2" fontId="15" fillId="0" borderId="1" xfId="1" applyNumberFormat="1" applyFont="1" applyFill="1" applyBorder="1" applyAlignment="1" applyProtection="1">
      <alignment horizontal="center" vertical="center"/>
    </xf>
    <xf numFmtId="0" fontId="5" fillId="0" borderId="13" xfId="1" applyFont="1" applyFill="1" applyBorder="1" applyAlignment="1">
      <alignment horizontal="left" vertical="center" wrapText="1"/>
    </xf>
    <xf numFmtId="0" fontId="5" fillId="0" borderId="122" xfId="1" applyFont="1" applyFill="1" applyBorder="1" applyAlignment="1">
      <alignment horizontal="left" vertical="center" wrapText="1"/>
    </xf>
    <xf numFmtId="0" fontId="5" fillId="0" borderId="23" xfId="1" applyFont="1" applyFill="1" applyBorder="1" applyAlignment="1">
      <alignment horizontal="left" vertical="center" wrapText="1"/>
    </xf>
    <xf numFmtId="2" fontId="15" fillId="0" borderId="43" xfId="1" applyNumberFormat="1" applyFont="1" applyFill="1" applyBorder="1" applyAlignment="1" applyProtection="1">
      <alignment horizontal="center" vertical="center"/>
    </xf>
    <xf numFmtId="0" fontId="5" fillId="3" borderId="13" xfId="3" applyFont="1" applyFill="1" applyBorder="1" applyAlignment="1" applyProtection="1">
      <alignment horizontal="left" vertical="center" wrapText="1"/>
    </xf>
    <xf numFmtId="0" fontId="1" fillId="2" borderId="20" xfId="1" applyBorder="1" applyAlignment="1" applyProtection="1">
      <alignment horizontal="left" vertical="center" wrapText="1"/>
    </xf>
    <xf numFmtId="9" fontId="15" fillId="5" borderId="177" xfId="0" applyNumberFormat="1" applyFont="1" applyFill="1" applyBorder="1" applyAlignment="1" applyProtection="1">
      <alignment horizontal="center"/>
      <protection locked="0"/>
    </xf>
    <xf numFmtId="14" fontId="14" fillId="14" borderId="13" xfId="1" applyNumberFormat="1" applyFont="1" applyFill="1" applyBorder="1" applyAlignment="1" applyProtection="1">
      <alignment horizontal="left" vertical="center"/>
      <protection locked="0"/>
    </xf>
    <xf numFmtId="14" fontId="14" fillId="14" borderId="20" xfId="1" applyNumberFormat="1" applyFont="1" applyFill="1" applyBorder="1" applyAlignment="1" applyProtection="1">
      <alignment horizontal="left" vertical="center"/>
      <protection locked="0"/>
    </xf>
    <xf numFmtId="0" fontId="5" fillId="3" borderId="13" xfId="3" applyFont="1" applyFill="1" applyBorder="1" applyAlignment="1" applyProtection="1">
      <alignment horizontal="right" vertical="center" wrapText="1"/>
    </xf>
    <xf numFmtId="0" fontId="5" fillId="3" borderId="20" xfId="3" applyFont="1" applyFill="1" applyBorder="1" applyAlignment="1" applyProtection="1">
      <alignment horizontal="right" vertical="center" wrapText="1"/>
    </xf>
    <xf numFmtId="0" fontId="5" fillId="3" borderId="20" xfId="3" applyFont="1" applyFill="1" applyBorder="1" applyAlignment="1" applyProtection="1">
      <alignment horizontal="left" vertical="center" wrapText="1"/>
    </xf>
    <xf numFmtId="0" fontId="5" fillId="3" borderId="176" xfId="3" applyFont="1" applyFill="1" applyBorder="1" applyAlignment="1" applyProtection="1">
      <alignment horizontal="left" vertical="center" wrapText="1"/>
    </xf>
    <xf numFmtId="0" fontId="5" fillId="0" borderId="13" xfId="0" applyFont="1" applyBorder="1" applyAlignment="1">
      <alignment horizontal="center" vertical="center" wrapText="1"/>
    </xf>
    <xf numFmtId="0" fontId="5" fillId="0" borderId="20" xfId="0" applyFont="1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0" fontId="5" fillId="0" borderId="13" xfId="0" applyFont="1" applyBorder="1" applyAlignment="1">
      <alignment horizontal="center"/>
    </xf>
    <xf numFmtId="0" fontId="5" fillId="0" borderId="23" xfId="0" applyFont="1" applyBorder="1" applyAlignment="1">
      <alignment horizontal="center"/>
    </xf>
    <xf numFmtId="0" fontId="5" fillId="0" borderId="9" xfId="2" applyFont="1" applyBorder="1" applyAlignment="1">
      <alignment horizontal="center"/>
    </xf>
    <xf numFmtId="14" fontId="14" fillId="14" borderId="13" xfId="1" applyNumberFormat="1" applyFont="1" applyFill="1" applyBorder="1" applyAlignment="1" applyProtection="1">
      <alignment horizontal="center" vertical="center"/>
      <protection locked="0"/>
    </xf>
    <xf numFmtId="14" fontId="14" fillId="14" borderId="20" xfId="1" applyNumberFormat="1" applyFont="1" applyFill="1" applyBorder="1" applyAlignment="1" applyProtection="1">
      <alignment horizontal="center" vertical="center"/>
      <protection locked="0"/>
    </xf>
    <xf numFmtId="14" fontId="14" fillId="14" borderId="23" xfId="1" applyNumberFormat="1" applyFont="1" applyFill="1" applyBorder="1" applyAlignment="1" applyProtection="1">
      <alignment horizontal="center" vertical="center"/>
      <protection locked="0"/>
    </xf>
    <xf numFmtId="0" fontId="7" fillId="0" borderId="13" xfId="2" applyFont="1" applyBorder="1" applyAlignment="1">
      <alignment horizontal="left" vertical="center" wrapText="1"/>
    </xf>
    <xf numFmtId="0" fontId="7" fillId="0" borderId="20" xfId="2" applyFont="1" applyBorder="1" applyAlignment="1">
      <alignment horizontal="left" vertical="center" wrapText="1"/>
    </xf>
    <xf numFmtId="0" fontId="7" fillId="0" borderId="23" xfId="2" applyFont="1" applyBorder="1" applyAlignment="1">
      <alignment horizontal="left" vertical="center" wrapText="1"/>
    </xf>
    <xf numFmtId="0" fontId="5" fillId="0" borderId="13" xfId="2" applyFont="1" applyBorder="1" applyAlignment="1">
      <alignment horizontal="left" vertical="center" wrapText="1"/>
    </xf>
    <xf numFmtId="0" fontId="5" fillId="0" borderId="20" xfId="2" applyFont="1" applyBorder="1" applyAlignment="1">
      <alignment horizontal="left" vertical="center" wrapText="1"/>
    </xf>
    <xf numFmtId="0" fontId="5" fillId="0" borderId="23" xfId="2" applyFont="1" applyBorder="1" applyAlignment="1">
      <alignment horizontal="left" vertical="center" wrapText="1"/>
    </xf>
    <xf numFmtId="0" fontId="56" fillId="0" borderId="13" xfId="2" applyFont="1" applyBorder="1" applyAlignment="1">
      <alignment horizontal="center" vertical="center" wrapText="1"/>
    </xf>
    <xf numFmtId="0" fontId="56" fillId="0" borderId="20" xfId="2" applyFont="1" applyBorder="1" applyAlignment="1">
      <alignment horizontal="center" vertical="center" wrapText="1"/>
    </xf>
    <xf numFmtId="0" fontId="56" fillId="0" borderId="23" xfId="2" applyFont="1" applyBorder="1" applyAlignment="1">
      <alignment horizontal="center" vertical="center" wrapText="1"/>
    </xf>
    <xf numFmtId="0" fontId="5" fillId="0" borderId="13" xfId="1" applyFont="1" applyFill="1" applyBorder="1" applyAlignment="1">
      <alignment horizontal="right" vertical="center" wrapText="1"/>
    </xf>
    <xf numFmtId="0" fontId="5" fillId="0" borderId="20" xfId="1" applyFont="1" applyFill="1" applyBorder="1" applyAlignment="1">
      <alignment horizontal="right" vertical="center" wrapText="1"/>
    </xf>
    <xf numFmtId="0" fontId="5" fillId="0" borderId="23" xfId="1" applyFont="1" applyFill="1" applyBorder="1" applyAlignment="1">
      <alignment horizontal="right" vertical="center" wrapText="1"/>
    </xf>
    <xf numFmtId="0" fontId="56" fillId="0" borderId="13" xfId="2" applyFont="1" applyBorder="1" applyAlignment="1">
      <alignment horizontal="center" vertical="center" shrinkToFit="1"/>
    </xf>
    <xf numFmtId="0" fontId="56" fillId="0" borderId="20" xfId="2" applyFont="1" applyBorder="1" applyAlignment="1">
      <alignment horizontal="center" vertical="center" shrinkToFit="1"/>
    </xf>
    <xf numFmtId="0" fontId="56" fillId="0" borderId="23" xfId="2" applyFont="1" applyBorder="1" applyAlignment="1">
      <alignment horizontal="center" vertical="center" shrinkToFit="1"/>
    </xf>
    <xf numFmtId="10" fontId="5" fillId="0" borderId="1" xfId="1" applyNumberFormat="1" applyFont="1" applyFill="1" applyBorder="1" applyAlignment="1">
      <alignment horizontal="center" vertical="center" wrapText="1"/>
    </xf>
    <xf numFmtId="0" fontId="5" fillId="0" borderId="171" xfId="2" applyFont="1" applyBorder="1" applyAlignment="1">
      <alignment horizontal="right" vertical="center" wrapText="1"/>
    </xf>
    <xf numFmtId="0" fontId="5" fillId="0" borderId="172" xfId="2" applyFont="1" applyBorder="1" applyAlignment="1">
      <alignment horizontal="right" vertical="center" wrapText="1"/>
    </xf>
    <xf numFmtId="0" fontId="5" fillId="0" borderId="173" xfId="2" applyFont="1" applyBorder="1" applyAlignment="1">
      <alignment horizontal="right" vertical="center" wrapText="1"/>
    </xf>
    <xf numFmtId="2" fontId="14" fillId="0" borderId="174" xfId="1" applyNumberFormat="1" applyFont="1" applyFill="1" applyBorder="1" applyAlignment="1" applyProtection="1">
      <alignment horizontal="center" vertical="center"/>
    </xf>
    <xf numFmtId="2" fontId="14" fillId="0" borderId="51" xfId="1" applyNumberFormat="1" applyFont="1" applyFill="1" applyBorder="1" applyAlignment="1" applyProtection="1">
      <alignment horizontal="center" vertical="center"/>
    </xf>
    <xf numFmtId="2" fontId="14" fillId="0" borderId="175" xfId="1" applyNumberFormat="1" applyFont="1" applyFill="1" applyBorder="1" applyAlignment="1" applyProtection="1">
      <alignment horizontal="center" vertical="center"/>
    </xf>
    <xf numFmtId="176" fontId="14" fillId="0" borderId="1" xfId="1" applyNumberFormat="1" applyFont="1" applyFill="1" applyBorder="1" applyAlignment="1" applyProtection="1">
      <alignment horizontal="left" vertical="center"/>
      <protection locked="0"/>
    </xf>
    <xf numFmtId="0" fontId="5" fillId="0" borderId="27" xfId="1" applyFont="1" applyFill="1" applyBorder="1" applyAlignment="1">
      <alignment horizontal="left" vertical="center" wrapText="1"/>
    </xf>
    <xf numFmtId="0" fontId="1" fillId="0" borderId="28" xfId="1" applyFill="1" applyBorder="1" applyAlignment="1">
      <alignment horizontal="left" vertical="center" wrapText="1"/>
    </xf>
    <xf numFmtId="0" fontId="1" fillId="0" borderId="22" xfId="1" applyFill="1" applyBorder="1" applyAlignment="1">
      <alignment horizontal="left" vertical="center" wrapText="1"/>
    </xf>
    <xf numFmtId="0" fontId="12" fillId="9" borderId="1" xfId="1" applyFont="1" applyFill="1" applyBorder="1" applyAlignment="1" applyProtection="1">
      <alignment horizontal="left" vertical="center"/>
      <protection locked="0"/>
    </xf>
    <xf numFmtId="0" fontId="14" fillId="9" borderId="13" xfId="1" applyFont="1" applyFill="1" applyBorder="1" applyAlignment="1" applyProtection="1">
      <alignment horizontal="left" vertical="center"/>
      <protection locked="0"/>
    </xf>
    <xf numFmtId="3" fontId="12" fillId="0" borderId="40" xfId="1" applyNumberFormat="1" applyFont="1" applyFill="1" applyBorder="1" applyAlignment="1" applyProtection="1">
      <alignment horizontal="center" vertical="center" wrapText="1"/>
      <protection locked="0"/>
    </xf>
    <xf numFmtId="3" fontId="12" fillId="0" borderId="41" xfId="1" applyNumberFormat="1" applyFont="1" applyFill="1" applyBorder="1" applyAlignment="1" applyProtection="1">
      <alignment horizontal="center" vertical="center" wrapText="1"/>
      <protection locked="0"/>
    </xf>
    <xf numFmtId="3" fontId="12" fillId="0" borderId="42" xfId="1" applyNumberFormat="1" applyFont="1" applyFill="1" applyBorder="1" applyAlignment="1" applyProtection="1">
      <alignment horizontal="center" vertical="center" wrapText="1"/>
      <protection locked="0"/>
    </xf>
    <xf numFmtId="0" fontId="9" fillId="0" borderId="38" xfId="1" applyFont="1" applyFill="1" applyBorder="1" applyAlignment="1">
      <alignment horizontal="center" vertical="center" wrapText="1"/>
    </xf>
    <xf numFmtId="0" fontId="9" fillId="0" borderId="22" xfId="1" applyFont="1" applyFill="1" applyBorder="1" applyAlignment="1">
      <alignment horizontal="center" vertical="center" wrapText="1"/>
    </xf>
    <xf numFmtId="0" fontId="15" fillId="0" borderId="39" xfId="1" applyFont="1" applyFill="1" applyBorder="1" applyAlignment="1">
      <alignment horizontal="left" vertical="center" wrapText="1"/>
    </xf>
    <xf numFmtId="0" fontId="10" fillId="0" borderId="29" xfId="2" applyFont="1" applyBorder="1" applyAlignment="1">
      <alignment horizontal="left" vertical="center" wrapText="1"/>
    </xf>
    <xf numFmtId="0" fontId="10" fillId="0" borderId="16" xfId="2" applyFont="1" applyBorder="1" applyAlignment="1">
      <alignment horizontal="left" vertical="center" wrapText="1"/>
    </xf>
    <xf numFmtId="0" fontId="10" fillId="0" borderId="7" xfId="2" applyFont="1" applyBorder="1" applyAlignment="1">
      <alignment horizontal="left" vertical="center" wrapText="1"/>
    </xf>
    <xf numFmtId="0" fontId="10" fillId="0" borderId="27" xfId="2" applyFont="1" applyBorder="1" applyAlignment="1">
      <alignment horizontal="left" vertical="center" wrapText="1"/>
    </xf>
    <xf numFmtId="0" fontId="10" fillId="0" borderId="28" xfId="2" applyFont="1" applyBorder="1" applyAlignment="1">
      <alignment horizontal="left" vertical="center" wrapText="1"/>
    </xf>
    <xf numFmtId="0" fontId="10" fillId="0" borderId="22" xfId="2" applyFont="1" applyBorder="1" applyAlignment="1">
      <alignment horizontal="left" vertical="center" wrapText="1"/>
    </xf>
    <xf numFmtId="0" fontId="12" fillId="0" borderId="29" xfId="0" applyFont="1" applyBorder="1" applyAlignment="1">
      <alignment horizontal="center" vertical="center"/>
    </xf>
    <xf numFmtId="0" fontId="12" fillId="0" borderId="1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27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9" fontId="15" fillId="5" borderId="0" xfId="0" applyNumberFormat="1" applyFont="1" applyFill="1" applyBorder="1" applyAlignment="1" applyProtection="1">
      <alignment horizontal="center"/>
      <protection locked="0"/>
    </xf>
    <xf numFmtId="0" fontId="15" fillId="5" borderId="0" xfId="0" applyFont="1" applyFill="1" applyBorder="1" applyAlignment="1" applyProtection="1">
      <alignment horizontal="center"/>
      <protection locked="0"/>
    </xf>
    <xf numFmtId="9" fontId="13" fillId="5" borderId="0" xfId="0" applyNumberFormat="1" applyFont="1" applyFill="1" applyBorder="1" applyAlignment="1" applyProtection="1">
      <alignment horizontal="center"/>
      <protection locked="0"/>
    </xf>
    <xf numFmtId="0" fontId="5" fillId="3" borderId="29" xfId="1" applyFont="1" applyFill="1" applyBorder="1" applyAlignment="1" applyProtection="1">
      <alignment horizontal="left" vertical="center" wrapText="1"/>
    </xf>
    <xf numFmtId="0" fontId="5" fillId="3" borderId="16" xfId="1" applyFont="1" applyFill="1" applyBorder="1" applyAlignment="1" applyProtection="1">
      <alignment horizontal="left" vertical="center" wrapText="1"/>
    </xf>
    <xf numFmtId="0" fontId="5" fillId="3" borderId="165" xfId="1" applyFont="1" applyFill="1" applyBorder="1" applyAlignment="1" applyProtection="1">
      <alignment horizontal="left" vertical="center" wrapText="1"/>
    </xf>
    <xf numFmtId="0" fontId="5" fillId="3" borderId="27" xfId="1" applyFont="1" applyFill="1" applyBorder="1" applyAlignment="1" applyProtection="1">
      <alignment horizontal="left" vertical="center" wrapText="1"/>
    </xf>
    <xf numFmtId="0" fontId="5" fillId="3" borderId="28" xfId="1" applyFont="1" applyFill="1" applyBorder="1" applyAlignment="1" applyProtection="1">
      <alignment horizontal="left" vertical="center" wrapText="1"/>
    </xf>
    <xf numFmtId="0" fontId="5" fillId="3" borderId="166" xfId="1" applyFont="1" applyFill="1" applyBorder="1" applyAlignment="1" applyProtection="1">
      <alignment horizontal="left" vertical="center" wrapText="1"/>
    </xf>
    <xf numFmtId="9" fontId="15" fillId="5" borderId="96" xfId="0" applyNumberFormat="1" applyFont="1" applyFill="1" applyBorder="1" applyAlignment="1" applyProtection="1">
      <alignment horizontal="center"/>
      <protection locked="0"/>
    </xf>
    <xf numFmtId="9" fontId="15" fillId="5" borderId="97" xfId="0" applyNumberFormat="1" applyFont="1" applyFill="1" applyBorder="1" applyAlignment="1" applyProtection="1">
      <alignment horizontal="center"/>
      <protection locked="0"/>
    </xf>
    <xf numFmtId="9" fontId="15" fillId="5" borderId="98" xfId="0" applyNumberFormat="1" applyFont="1" applyFill="1" applyBorder="1" applyAlignment="1" applyProtection="1">
      <alignment horizontal="center"/>
      <protection locked="0"/>
    </xf>
    <xf numFmtId="9" fontId="15" fillId="5" borderId="167" xfId="0" applyNumberFormat="1" applyFont="1" applyFill="1" applyBorder="1" applyAlignment="1" applyProtection="1">
      <alignment horizontal="center"/>
      <protection locked="0"/>
    </xf>
    <xf numFmtId="9" fontId="15" fillId="5" borderId="168" xfId="0" applyNumberFormat="1" applyFont="1" applyFill="1" applyBorder="1" applyAlignment="1" applyProtection="1">
      <alignment horizontal="center"/>
      <protection locked="0"/>
    </xf>
    <xf numFmtId="0" fontId="5" fillId="3" borderId="13" xfId="3" applyFont="1" applyFill="1" applyBorder="1" applyAlignment="1">
      <alignment horizontal="left" vertical="center" wrapText="1"/>
    </xf>
    <xf numFmtId="0" fontId="5" fillId="3" borderId="20" xfId="3" applyFont="1" applyFill="1" applyBorder="1" applyAlignment="1">
      <alignment horizontal="left" vertical="center" wrapText="1"/>
    </xf>
    <xf numFmtId="0" fontId="5" fillId="3" borderId="23" xfId="3" applyFont="1" applyFill="1" applyBorder="1" applyAlignment="1">
      <alignment horizontal="left" vertical="center" wrapText="1"/>
    </xf>
    <xf numFmtId="0" fontId="5" fillId="0" borderId="158" xfId="1" applyFont="1" applyFill="1" applyBorder="1" applyAlignment="1">
      <alignment horizontal="left" vertical="center" wrapText="1"/>
    </xf>
    <xf numFmtId="0" fontId="5" fillId="0" borderId="159" xfId="1" applyFont="1" applyFill="1" applyBorder="1" applyAlignment="1">
      <alignment horizontal="left" vertical="center" wrapText="1"/>
    </xf>
    <xf numFmtId="0" fontId="5" fillId="0" borderId="160" xfId="1" applyFont="1" applyFill="1" applyBorder="1" applyAlignment="1">
      <alignment horizontal="left" vertical="center" wrapText="1"/>
    </xf>
    <xf numFmtId="0" fontId="5" fillId="0" borderId="161" xfId="1" applyFont="1" applyFill="1" applyBorder="1" applyAlignment="1">
      <alignment horizontal="left" vertical="center" wrapText="1"/>
    </xf>
    <xf numFmtId="0" fontId="5" fillId="0" borderId="162" xfId="1" applyFont="1" applyFill="1" applyBorder="1" applyAlignment="1">
      <alignment horizontal="left" vertical="center" wrapText="1"/>
    </xf>
    <xf numFmtId="0" fontId="5" fillId="0" borderId="163" xfId="1" applyFont="1" applyFill="1" applyBorder="1" applyAlignment="1">
      <alignment horizontal="left" vertical="center" wrapText="1"/>
    </xf>
    <xf numFmtId="0" fontId="14" fillId="14" borderId="18" xfId="1" applyFont="1" applyFill="1" applyBorder="1" applyAlignment="1" applyProtection="1">
      <alignment horizontal="center" vertical="top" wrapText="1" shrinkToFit="1"/>
      <protection locked="0"/>
    </xf>
    <xf numFmtId="0" fontId="14" fillId="14" borderId="0" xfId="1" applyFont="1" applyFill="1" applyBorder="1" applyAlignment="1" applyProtection="1">
      <alignment horizontal="center" vertical="top" wrapText="1" shrinkToFit="1"/>
      <protection locked="0"/>
    </xf>
    <xf numFmtId="0" fontId="14" fillId="14" borderId="8" xfId="1" applyFont="1" applyFill="1" applyBorder="1" applyAlignment="1" applyProtection="1">
      <alignment horizontal="center" vertical="top" wrapText="1" shrinkToFit="1"/>
      <protection locked="0"/>
    </xf>
    <xf numFmtId="0" fontId="5" fillId="0" borderId="164" xfId="1" applyFont="1" applyFill="1" applyBorder="1" applyAlignment="1">
      <alignment horizontal="left" vertical="center" wrapText="1"/>
    </xf>
    <xf numFmtId="0" fontId="5" fillId="0" borderId="22" xfId="1" applyFont="1" applyFill="1" applyBorder="1" applyAlignment="1">
      <alignment horizontal="left" vertical="center" wrapText="1"/>
    </xf>
    <xf numFmtId="173" fontId="14" fillId="0" borderId="13" xfId="1" applyNumberFormat="1" applyFont="1" applyFill="1" applyBorder="1" applyAlignment="1">
      <alignment horizontal="center" vertical="center" shrinkToFit="1"/>
    </xf>
    <xf numFmtId="0" fontId="14" fillId="0" borderId="20" xfId="1" applyFont="1" applyFill="1" applyBorder="1" applyAlignment="1">
      <alignment horizontal="center" vertical="center" shrinkToFit="1"/>
    </xf>
    <xf numFmtId="0" fontId="14" fillId="0" borderId="23" xfId="1" applyFont="1" applyFill="1" applyBorder="1" applyAlignment="1">
      <alignment horizontal="center" vertical="center" shrinkToFit="1"/>
    </xf>
    <xf numFmtId="1" fontId="14" fillId="0" borderId="27" xfId="1" applyNumberFormat="1" applyFont="1" applyFill="1" applyBorder="1" applyAlignment="1" applyProtection="1">
      <alignment horizontal="center" vertical="center"/>
    </xf>
    <xf numFmtId="1" fontId="14" fillId="0" borderId="28" xfId="1" applyNumberFormat="1" applyFont="1" applyFill="1" applyBorder="1" applyAlignment="1" applyProtection="1">
      <alignment horizontal="center" vertical="center"/>
    </xf>
    <xf numFmtId="1" fontId="14" fillId="0" borderId="22" xfId="1" applyNumberFormat="1" applyFont="1" applyFill="1" applyBorder="1" applyAlignment="1" applyProtection="1">
      <alignment horizontal="center" vertical="center"/>
    </xf>
    <xf numFmtId="0" fontId="3" fillId="0" borderId="0" xfId="2" applyFont="1" applyAlignment="1">
      <alignment horizontal="center" vertical="center" wrapText="1" shrinkToFit="1"/>
    </xf>
    <xf numFmtId="10" fontId="28" fillId="0" borderId="0" xfId="4" applyNumberFormat="1" applyFont="1" applyBorder="1" applyAlignment="1" applyProtection="1">
      <alignment horizontal="center" vertical="center"/>
    </xf>
    <xf numFmtId="0" fontId="14" fillId="0" borderId="1" xfId="1" applyFont="1" applyFill="1" applyBorder="1" applyAlignment="1" applyProtection="1">
      <alignment horizontal="left" vertical="center"/>
    </xf>
    <xf numFmtId="0" fontId="12" fillId="9" borderId="1" xfId="1" applyFont="1" applyFill="1" applyBorder="1" applyAlignment="1" applyProtection="1">
      <alignment horizontal="left" vertical="center"/>
    </xf>
    <xf numFmtId="171" fontId="14" fillId="0" borderId="16" xfId="2" applyNumberFormat="1" applyFont="1" applyFill="1" applyBorder="1" applyAlignment="1" applyProtection="1">
      <alignment horizontal="left" vertical="center"/>
      <protection locked="0"/>
    </xf>
    <xf numFmtId="0" fontId="14" fillId="0" borderId="16" xfId="2" applyFont="1" applyFill="1" applyBorder="1" applyAlignment="1" applyProtection="1">
      <alignment horizontal="left" vertical="center"/>
      <protection locked="0"/>
    </xf>
    <xf numFmtId="0" fontId="14" fillId="0" borderId="0" xfId="1" applyFont="1" applyFill="1" applyBorder="1" applyAlignment="1" applyProtection="1">
      <alignment horizontal="left" vertical="center" shrinkToFit="1"/>
      <protection locked="0"/>
    </xf>
    <xf numFmtId="0" fontId="14" fillId="0" borderId="20" xfId="1" applyFont="1" applyFill="1" applyBorder="1" applyAlignment="1" applyProtection="1">
      <alignment horizontal="left" vertical="center" shrinkToFit="1"/>
      <protection locked="0"/>
    </xf>
    <xf numFmtId="0" fontId="14" fillId="9" borderId="1" xfId="1" applyFont="1" applyFill="1" applyBorder="1" applyAlignment="1" applyProtection="1">
      <alignment horizontal="left" vertical="center"/>
    </xf>
    <xf numFmtId="0" fontId="14" fillId="9" borderId="13" xfId="1" applyFont="1" applyFill="1" applyBorder="1" applyAlignment="1" applyProtection="1">
      <alignment horizontal="left" vertical="center"/>
    </xf>
    <xf numFmtId="168" fontId="14" fillId="0" borderId="13" xfId="1" applyNumberFormat="1" applyFont="1" applyFill="1" applyBorder="1" applyAlignment="1" applyProtection="1">
      <alignment horizontal="center" vertical="center"/>
    </xf>
    <xf numFmtId="168" fontId="14" fillId="0" borderId="23" xfId="1" applyNumberFormat="1" applyFont="1" applyFill="1" applyBorder="1" applyAlignment="1" applyProtection="1">
      <alignment horizontal="center" vertical="center"/>
    </xf>
    <xf numFmtId="171" fontId="14" fillId="0" borderId="27" xfId="1" applyNumberFormat="1" applyFont="1" applyFill="1" applyBorder="1" applyAlignment="1" applyProtection="1">
      <alignment horizontal="left" vertical="center"/>
    </xf>
    <xf numFmtId="171" fontId="14" fillId="0" borderId="28" xfId="1" applyNumberFormat="1" applyFont="1" applyFill="1" applyBorder="1" applyAlignment="1" applyProtection="1">
      <alignment horizontal="left" vertical="center"/>
    </xf>
    <xf numFmtId="171" fontId="14" fillId="0" borderId="22" xfId="1" applyNumberFormat="1" applyFont="1" applyFill="1" applyBorder="1" applyAlignment="1" applyProtection="1">
      <alignment horizontal="left" vertical="center"/>
    </xf>
    <xf numFmtId="169" fontId="14" fillId="0" borderId="28" xfId="1" applyNumberFormat="1" applyFont="1" applyFill="1" applyBorder="1" applyAlignment="1" applyProtection="1">
      <alignment horizontal="left" vertical="center"/>
    </xf>
    <xf numFmtId="169" fontId="14" fillId="0" borderId="22" xfId="1" applyNumberFormat="1" applyFont="1" applyFill="1" applyBorder="1" applyAlignment="1" applyProtection="1">
      <alignment horizontal="left" vertical="center"/>
    </xf>
    <xf numFmtId="0" fontId="12" fillId="0" borderId="13" xfId="1" applyFont="1" applyFill="1" applyBorder="1" applyAlignment="1" applyProtection="1">
      <alignment horizontal="left" vertical="center"/>
    </xf>
    <xf numFmtId="0" fontId="12" fillId="0" borderId="20" xfId="1" applyFont="1" applyFill="1" applyBorder="1" applyAlignment="1" applyProtection="1">
      <alignment horizontal="left" vertical="center"/>
    </xf>
    <xf numFmtId="0" fontId="12" fillId="0" borderId="23" xfId="1" applyFont="1" applyFill="1" applyBorder="1" applyAlignment="1" applyProtection="1">
      <alignment horizontal="left" vertical="center"/>
    </xf>
    <xf numFmtId="172" fontId="14" fillId="0" borderId="1" xfId="1" applyNumberFormat="1" applyFont="1" applyFill="1" applyBorder="1" applyAlignment="1" applyProtection="1">
      <alignment horizontal="left" vertical="center"/>
    </xf>
    <xf numFmtId="0" fontId="32" fillId="3" borderId="64" xfId="0" applyFont="1" applyFill="1" applyBorder="1" applyAlignment="1" applyProtection="1">
      <alignment horizontal="center" vertical="center"/>
    </xf>
    <xf numFmtId="0" fontId="32" fillId="3" borderId="65" xfId="0" applyFont="1" applyFill="1" applyBorder="1" applyAlignment="1" applyProtection="1">
      <alignment horizontal="center" vertical="center"/>
    </xf>
    <xf numFmtId="0" fontId="32" fillId="3" borderId="66" xfId="0" applyFont="1" applyFill="1" applyBorder="1" applyAlignment="1" applyProtection="1">
      <alignment horizontal="center" vertical="center"/>
    </xf>
    <xf numFmtId="0" fontId="31" fillId="0" borderId="198" xfId="0" applyFont="1" applyBorder="1" applyAlignment="1">
      <alignment horizontal="center" vertical="center" wrapText="1"/>
    </xf>
    <xf numFmtId="0" fontId="31" fillId="0" borderId="16" xfId="0" applyFont="1" applyBorder="1" applyAlignment="1">
      <alignment horizontal="center" vertical="center" wrapText="1"/>
    </xf>
    <xf numFmtId="0" fontId="31" fillId="0" borderId="199" xfId="0" applyFont="1" applyBorder="1" applyAlignment="1">
      <alignment horizontal="center" vertical="center" wrapText="1"/>
    </xf>
    <xf numFmtId="0" fontId="31" fillId="0" borderId="124" xfId="0" applyFont="1" applyBorder="1" applyAlignment="1">
      <alignment horizontal="center" vertical="center" wrapText="1"/>
    </xf>
    <xf numFmtId="0" fontId="31" fillId="0" borderId="125" xfId="0" applyFont="1" applyBorder="1" applyAlignment="1">
      <alignment horizontal="center" vertical="center" wrapText="1"/>
    </xf>
    <xf numFmtId="0" fontId="31" fillId="0" borderId="126" xfId="0" applyFont="1" applyBorder="1" applyAlignment="1">
      <alignment horizontal="center" vertical="center" wrapText="1"/>
    </xf>
    <xf numFmtId="0" fontId="31" fillId="0" borderId="200" xfId="0" applyFont="1" applyBorder="1" applyAlignment="1">
      <alignment horizontal="center" vertical="center" wrapText="1"/>
    </xf>
    <xf numFmtId="0" fontId="31" fillId="0" borderId="201" xfId="0" applyFont="1" applyBorder="1" applyAlignment="1">
      <alignment horizontal="center" vertical="center" wrapText="1"/>
    </xf>
    <xf numFmtId="0" fontId="31" fillId="0" borderId="202" xfId="0" applyFont="1" applyBorder="1" applyAlignment="1">
      <alignment horizontal="center" vertical="center" wrapText="1"/>
    </xf>
    <xf numFmtId="0" fontId="32" fillId="3" borderId="63" xfId="0" applyFont="1" applyFill="1" applyBorder="1" applyAlignment="1" applyProtection="1">
      <alignment horizontal="center" vertical="center"/>
    </xf>
    <xf numFmtId="0" fontId="32" fillId="3" borderId="61" xfId="0" applyFont="1" applyFill="1" applyBorder="1" applyAlignment="1" applyProtection="1">
      <alignment horizontal="center" vertical="center"/>
    </xf>
    <xf numFmtId="0" fontId="32" fillId="3" borderId="62" xfId="0" applyFont="1" applyFill="1" applyBorder="1" applyAlignment="1" applyProtection="1">
      <alignment horizontal="center" vertical="center"/>
    </xf>
    <xf numFmtId="0" fontId="32" fillId="0" borderId="69" xfId="0" applyFont="1" applyBorder="1" applyAlignment="1">
      <alignment horizontal="center" vertical="center" wrapText="1"/>
    </xf>
    <xf numFmtId="0" fontId="32" fillId="0" borderId="70" xfId="0" applyFont="1" applyBorder="1" applyAlignment="1">
      <alignment horizontal="center" vertical="center" wrapText="1"/>
    </xf>
    <xf numFmtId="0" fontId="32" fillId="0" borderId="71" xfId="0" applyFont="1" applyBorder="1" applyAlignment="1">
      <alignment horizontal="center" vertical="center" wrapText="1"/>
    </xf>
    <xf numFmtId="14" fontId="32" fillId="9" borderId="69" xfId="0" applyNumberFormat="1" applyFont="1" applyFill="1" applyBorder="1" applyAlignment="1">
      <alignment horizontal="center" vertical="center" wrapText="1"/>
    </xf>
    <xf numFmtId="10" fontId="32" fillId="9" borderId="70" xfId="0" applyNumberFormat="1" applyFont="1" applyFill="1" applyBorder="1" applyAlignment="1">
      <alignment horizontal="center" vertical="center" wrapText="1"/>
    </xf>
    <xf numFmtId="10" fontId="32" fillId="9" borderId="71" xfId="0" applyNumberFormat="1" applyFont="1" applyFill="1" applyBorder="1" applyAlignment="1">
      <alignment horizontal="center" vertical="center" wrapText="1"/>
    </xf>
    <xf numFmtId="10" fontId="31" fillId="9" borderId="63" xfId="0" applyNumberFormat="1" applyFont="1" applyFill="1" applyBorder="1" applyAlignment="1" applyProtection="1">
      <alignment horizontal="center" vertical="center" wrapText="1"/>
      <protection locked="0"/>
    </xf>
    <xf numFmtId="10" fontId="31" fillId="9" borderId="61" xfId="0" applyNumberFormat="1" applyFont="1" applyFill="1" applyBorder="1" applyAlignment="1" applyProtection="1">
      <alignment horizontal="center" vertical="center" wrapText="1"/>
      <protection locked="0"/>
    </xf>
    <xf numFmtId="10" fontId="31" fillId="9" borderId="69" xfId="0" applyNumberFormat="1" applyFont="1" applyFill="1" applyBorder="1" applyAlignment="1" applyProtection="1">
      <alignment horizontal="center" vertical="center" wrapText="1"/>
      <protection locked="0"/>
    </xf>
    <xf numFmtId="10" fontId="31" fillId="9" borderId="70" xfId="0" applyNumberFormat="1" applyFont="1" applyFill="1" applyBorder="1" applyAlignment="1" applyProtection="1">
      <alignment horizontal="center" vertical="center" wrapText="1"/>
      <protection locked="0"/>
    </xf>
    <xf numFmtId="0" fontId="32" fillId="3" borderId="196" xfId="0" applyFont="1" applyFill="1" applyBorder="1" applyAlignment="1" applyProtection="1">
      <alignment horizontal="center" vertical="center"/>
    </xf>
    <xf numFmtId="0" fontId="32" fillId="3" borderId="197" xfId="0" applyFont="1" applyFill="1" applyBorder="1" applyAlignment="1" applyProtection="1">
      <alignment horizontal="center" vertical="center"/>
    </xf>
    <xf numFmtId="0" fontId="32" fillId="3" borderId="77" xfId="0" applyFont="1" applyFill="1" applyBorder="1" applyAlignment="1" applyProtection="1">
      <alignment horizontal="center" vertical="center"/>
    </xf>
    <xf numFmtId="0" fontId="31" fillId="3" borderId="69" xfId="0" applyFont="1" applyFill="1" applyBorder="1" applyAlignment="1" applyProtection="1">
      <alignment horizontal="center" vertical="center"/>
    </xf>
    <xf numFmtId="0" fontId="31" fillId="3" borderId="70" xfId="0" applyFont="1" applyFill="1" applyBorder="1" applyAlignment="1" applyProtection="1">
      <alignment horizontal="center" vertical="center"/>
    </xf>
    <xf numFmtId="0" fontId="31" fillId="3" borderId="71" xfId="0" applyFont="1" applyFill="1" applyBorder="1" applyAlignment="1" applyProtection="1">
      <alignment horizontal="center" vertical="center"/>
    </xf>
    <xf numFmtId="0" fontId="14" fillId="0" borderId="29" xfId="2" applyFont="1" applyFill="1" applyBorder="1" applyAlignment="1" applyProtection="1">
      <alignment horizontal="left" vertical="top" wrapText="1"/>
      <protection locked="0"/>
    </xf>
    <xf numFmtId="0" fontId="14" fillId="0" borderId="16" xfId="2" applyFont="1" applyFill="1" applyBorder="1" applyAlignment="1" applyProtection="1">
      <alignment horizontal="left" vertical="top" wrapText="1"/>
      <protection locked="0"/>
    </xf>
    <xf numFmtId="0" fontId="14" fillId="0" borderId="7" xfId="2" applyFont="1" applyFill="1" applyBorder="1" applyAlignment="1" applyProtection="1">
      <alignment horizontal="left" vertical="top" wrapText="1"/>
      <protection locked="0"/>
    </xf>
    <xf numFmtId="0" fontId="14" fillId="0" borderId="18" xfId="2" applyFont="1" applyFill="1" applyBorder="1" applyAlignment="1" applyProtection="1">
      <alignment horizontal="left" vertical="top" wrapText="1"/>
      <protection locked="0"/>
    </xf>
    <xf numFmtId="0" fontId="14" fillId="0" borderId="0" xfId="2" applyFont="1" applyFill="1" applyBorder="1" applyAlignment="1" applyProtection="1">
      <alignment horizontal="left" vertical="top" wrapText="1"/>
      <protection locked="0"/>
    </xf>
    <xf numFmtId="0" fontId="14" fillId="0" borderId="8" xfId="2" applyFont="1" applyFill="1" applyBorder="1" applyAlignment="1" applyProtection="1">
      <alignment horizontal="left" vertical="top" wrapText="1"/>
      <protection locked="0"/>
    </xf>
    <xf numFmtId="0" fontId="14" fillId="0" borderId="27" xfId="2" applyFont="1" applyFill="1" applyBorder="1" applyAlignment="1" applyProtection="1">
      <alignment horizontal="left" vertical="top" wrapText="1"/>
      <protection locked="0"/>
    </xf>
    <xf numFmtId="0" fontId="14" fillId="0" borderId="28" xfId="2" applyFont="1" applyFill="1" applyBorder="1" applyAlignment="1" applyProtection="1">
      <alignment horizontal="left" vertical="top" wrapText="1"/>
      <protection locked="0"/>
    </xf>
    <xf numFmtId="0" fontId="14" fillId="0" borderId="22" xfId="2" applyFont="1" applyFill="1" applyBorder="1" applyAlignment="1" applyProtection="1">
      <alignment horizontal="left" vertical="top" wrapText="1"/>
      <protection locked="0"/>
    </xf>
    <xf numFmtId="0" fontId="5" fillId="0" borderId="29" xfId="2" applyFont="1" applyBorder="1" applyAlignment="1" applyProtection="1">
      <alignment horizontal="left" wrapText="1"/>
      <protection locked="0"/>
    </xf>
    <xf numFmtId="0" fontId="5" fillId="0" borderId="16" xfId="2" applyFont="1" applyBorder="1" applyAlignment="1" applyProtection="1">
      <alignment horizontal="left" wrapText="1"/>
      <protection locked="0"/>
    </xf>
    <xf numFmtId="0" fontId="5" fillId="0" borderId="7" xfId="2" applyFont="1" applyBorder="1" applyAlignment="1" applyProtection="1">
      <alignment horizontal="left" wrapText="1"/>
      <protection locked="0"/>
    </xf>
    <xf numFmtId="0" fontId="5" fillId="0" borderId="0" xfId="2" applyFont="1" applyAlignment="1" applyProtection="1">
      <alignment horizontal="left" wrapText="1"/>
      <protection locked="0"/>
    </xf>
    <xf numFmtId="0" fontId="0" fillId="0" borderId="16" xfId="0" applyBorder="1" applyProtection="1">
      <protection locked="0"/>
    </xf>
    <xf numFmtId="0" fontId="0" fillId="0" borderId="7" xfId="0" applyBorder="1" applyProtection="1">
      <protection locked="0"/>
    </xf>
    <xf numFmtId="0" fontId="0" fillId="0" borderId="18" xfId="0" applyBorder="1" applyProtection="1">
      <protection locked="0"/>
    </xf>
    <xf numFmtId="0" fontId="0" fillId="0" borderId="0" xfId="0" applyProtection="1">
      <protection locked="0"/>
    </xf>
    <xf numFmtId="0" fontId="0" fillId="0" borderId="8" xfId="0" applyBorder="1" applyProtection="1">
      <protection locked="0"/>
    </xf>
    <xf numFmtId="0" fontId="0" fillId="0" borderId="27" xfId="0" applyBorder="1" applyProtection="1">
      <protection locked="0"/>
    </xf>
    <xf numFmtId="0" fontId="0" fillId="0" borderId="28" xfId="0" applyBorder="1" applyProtection="1">
      <protection locked="0"/>
    </xf>
    <xf numFmtId="0" fontId="0" fillId="0" borderId="22" xfId="0" applyBorder="1" applyProtection="1">
      <protection locked="0"/>
    </xf>
    <xf numFmtId="0" fontId="15" fillId="0" borderId="0" xfId="2" applyFont="1" applyFill="1" applyBorder="1" applyAlignment="1">
      <alignment horizontal="left" vertical="center" wrapText="1"/>
    </xf>
    <xf numFmtId="0" fontId="5" fillId="0" borderId="18" xfId="1" applyFont="1" applyFill="1" applyBorder="1" applyAlignment="1">
      <alignment horizontal="center" vertical="center" wrapText="1"/>
    </xf>
    <xf numFmtId="0" fontId="5" fillId="0" borderId="0" xfId="1" applyFont="1" applyFill="1" applyAlignment="1">
      <alignment horizontal="center" vertical="center" wrapText="1"/>
    </xf>
    <xf numFmtId="170" fontId="12" fillId="0" borderId="40" xfId="1" applyNumberFormat="1" applyFont="1" applyFill="1" applyBorder="1" applyAlignment="1" applyProtection="1">
      <alignment horizontal="center" vertical="center" wrapText="1"/>
      <protection locked="0"/>
    </xf>
    <xf numFmtId="170" fontId="12" fillId="0" borderId="41" xfId="1" applyNumberFormat="1" applyFont="1" applyFill="1" applyBorder="1" applyAlignment="1" applyProtection="1">
      <alignment horizontal="center" vertical="center" wrapText="1"/>
      <protection locked="0"/>
    </xf>
    <xf numFmtId="170" fontId="12" fillId="0" borderId="42" xfId="1" applyNumberFormat="1" applyFont="1" applyFill="1" applyBorder="1" applyAlignment="1" applyProtection="1">
      <alignment horizontal="center" vertical="center" wrapText="1"/>
      <protection locked="0"/>
    </xf>
    <xf numFmtId="10" fontId="31" fillId="12" borderId="69" xfId="5" applyNumberFormat="1" applyFont="1" applyFill="1" applyBorder="1" applyAlignment="1" applyProtection="1">
      <alignment horizontal="center" vertical="center" wrapText="1"/>
    </xf>
    <xf numFmtId="10" fontId="31" fillId="12" borderId="70" xfId="5" applyNumberFormat="1" applyFont="1" applyFill="1" applyBorder="1" applyAlignment="1" applyProtection="1">
      <alignment horizontal="center" vertical="center" wrapText="1"/>
    </xf>
    <xf numFmtId="10" fontId="31" fillId="12" borderId="71" xfId="5" applyNumberFormat="1" applyFont="1" applyFill="1" applyBorder="1" applyAlignment="1" applyProtection="1">
      <alignment horizontal="center" vertical="center" wrapText="1"/>
    </xf>
    <xf numFmtId="10" fontId="32" fillId="9" borderId="69" xfId="0" applyNumberFormat="1" applyFont="1" applyFill="1" applyBorder="1" applyAlignment="1">
      <alignment horizontal="center" vertical="center" wrapText="1"/>
    </xf>
    <xf numFmtId="10" fontId="31" fillId="9" borderId="69" xfId="0" applyNumberFormat="1" applyFont="1" applyFill="1" applyBorder="1" applyAlignment="1">
      <alignment horizontal="center" vertical="center" wrapText="1"/>
    </xf>
    <xf numFmtId="10" fontId="31" fillId="9" borderId="70" xfId="0" applyNumberFormat="1" applyFont="1" applyFill="1" applyBorder="1" applyAlignment="1">
      <alignment horizontal="center" vertical="center" wrapText="1"/>
    </xf>
    <xf numFmtId="10" fontId="31" fillId="9" borderId="71" xfId="0" applyNumberFormat="1" applyFont="1" applyFill="1" applyBorder="1" applyAlignment="1">
      <alignment horizontal="center" vertical="center" wrapText="1"/>
    </xf>
    <xf numFmtId="0" fontId="14" fillId="0" borderId="1" xfId="2" applyFont="1" applyFill="1" applyBorder="1" applyAlignment="1" applyProtection="1">
      <alignment horizontal="left" vertical="top" wrapText="1"/>
      <protection locked="0"/>
    </xf>
    <xf numFmtId="0" fontId="15" fillId="0" borderId="0" xfId="2" applyFont="1" applyBorder="1" applyAlignment="1">
      <alignment horizontal="left" vertical="center" wrapText="1"/>
    </xf>
  </cellXfs>
  <cellStyles count="6">
    <cellStyle name="Normal" xfId="0" builtinId="0"/>
    <cellStyle name="Normal_24DefProposta de construção de unidade isolada- v23" xfId="1" xr:uid="{00000000-0005-0000-0000-000001000000}"/>
    <cellStyle name="Normal_LAE-OGU" xfId="2" xr:uid="{00000000-0005-0000-0000-000002000000}"/>
    <cellStyle name="Normal_RVT FL - 01" xfId="3" xr:uid="{00000000-0005-0000-0000-000003000000}"/>
    <cellStyle name="Porcentagem" xfId="4" builtinId="5"/>
    <cellStyle name="Vírgula" xfId="5" builtinId="3"/>
  </cellStyles>
  <dxfs count="238">
    <dxf>
      <fill>
        <patternFill>
          <bgColor rgb="FFCCCCFF"/>
        </patternFill>
      </fill>
    </dxf>
    <dxf>
      <fill>
        <patternFill>
          <bgColor rgb="FFCCCCFF"/>
        </patternFill>
      </fill>
    </dxf>
    <dxf>
      <fill>
        <patternFill>
          <bgColor rgb="FFCCCCFF"/>
        </patternFill>
      </fill>
    </dxf>
    <dxf>
      <fill>
        <patternFill>
          <bgColor rgb="FFCCCCFF"/>
        </patternFill>
      </fill>
    </dxf>
    <dxf>
      <fill>
        <patternFill>
          <bgColor rgb="FFCCCCFF"/>
        </patternFill>
      </fill>
    </dxf>
    <dxf>
      <fill>
        <patternFill>
          <bgColor rgb="FFCCCCFF"/>
        </patternFill>
      </fill>
    </dxf>
    <dxf>
      <fill>
        <patternFill>
          <bgColor rgb="FFCCCCFF"/>
        </patternFill>
      </fill>
    </dxf>
    <dxf>
      <fill>
        <patternFill>
          <bgColor rgb="FFCCCCFF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ill>
        <patternFill>
          <bgColor rgb="FFCCCCFF"/>
        </patternFill>
      </fill>
    </dxf>
    <dxf>
      <fill>
        <patternFill>
          <bgColor rgb="FFCCCCFF"/>
        </patternFill>
      </fill>
    </dxf>
    <dxf>
      <fill>
        <patternFill>
          <bgColor rgb="FFCCCCFF"/>
        </patternFill>
      </fill>
    </dxf>
    <dxf>
      <fill>
        <patternFill>
          <bgColor rgb="FFCCCCFF"/>
        </patternFill>
      </fill>
    </dxf>
    <dxf>
      <fill>
        <patternFill>
          <bgColor rgb="FFCCCCFF"/>
        </patternFill>
      </fill>
    </dxf>
    <dxf>
      <font>
        <color theme="0"/>
      </font>
      <fill>
        <patternFill patternType="none">
          <bgColor indexed="65"/>
        </patternFill>
      </fill>
    </dxf>
    <dxf>
      <font>
        <color theme="0"/>
      </font>
      <fill>
        <patternFill patternType="none">
          <bgColor indexed="65"/>
        </patternFill>
      </fill>
    </dxf>
    <dxf>
      <font>
        <color theme="0"/>
      </font>
      <fill>
        <patternFill patternType="none">
          <bgColor indexed="65"/>
        </patternFill>
      </fill>
    </dxf>
    <dxf>
      <font>
        <color theme="0"/>
      </font>
      <fill>
        <patternFill patternType="none">
          <bgColor indexed="65"/>
        </patternFill>
      </fill>
    </dxf>
    <dxf>
      <font>
        <color theme="0"/>
      </font>
      <fill>
        <patternFill patternType="none">
          <bgColor indexed="65"/>
        </patternFill>
      </fill>
    </dxf>
    <dxf>
      <fill>
        <patternFill>
          <bgColor rgb="FFCCCCFF"/>
        </patternFill>
      </fill>
    </dxf>
    <dxf>
      <fill>
        <patternFill>
          <bgColor rgb="FFCCCCFF"/>
        </patternFill>
      </fill>
    </dxf>
    <dxf>
      <fill>
        <patternFill>
          <bgColor rgb="FFCCCCFF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 patternType="none">
          <bgColor indexed="65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condense val="0"/>
        <extend val="0"/>
        <color indexed="9"/>
      </font>
    </dxf>
    <dxf>
      <font>
        <color theme="0"/>
      </font>
    </dxf>
    <dxf>
      <font>
        <color theme="0"/>
      </font>
    </dxf>
    <dxf>
      <fill>
        <patternFill>
          <bgColor rgb="FFCCCCFF"/>
        </patternFill>
      </fill>
      <border>
        <left style="thin">
          <color rgb="FFC0C0C0"/>
        </left>
        <right style="thin">
          <color rgb="FFC0C0C0"/>
        </right>
        <top style="thin">
          <color rgb="FFC0C0C0"/>
        </top>
        <bottom style="thin">
          <color rgb="FFC0C0C0"/>
        </bottom>
      </border>
    </dxf>
    <dxf>
      <fill>
        <patternFill>
          <bgColor rgb="FFCCCCFF"/>
        </patternFill>
      </fill>
      <border>
        <left style="thin">
          <color rgb="FFC0C0C0"/>
        </left>
        <right style="thin">
          <color rgb="FFC0C0C0"/>
        </right>
        <top style="thin">
          <color rgb="FFC0C0C0"/>
        </top>
        <bottom style="thin">
          <color rgb="FFC0C0C0"/>
        </bottom>
      </border>
    </dxf>
    <dxf>
      <font>
        <color theme="0"/>
      </font>
    </dxf>
    <dxf>
      <font>
        <color theme="0"/>
      </font>
    </dxf>
    <dxf>
      <fill>
        <patternFill>
          <bgColor rgb="FFCCCCFF"/>
        </patternFill>
      </fill>
      <border>
        <left style="thin">
          <color rgb="FFC0C0C0"/>
        </left>
        <right style="thin">
          <color rgb="FFC0C0C0"/>
        </right>
        <top style="thin">
          <color rgb="FFC0C0C0"/>
        </top>
        <bottom style="thin">
          <color rgb="FFC0C0C0"/>
        </bottom>
      </border>
    </dxf>
    <dxf>
      <font>
        <color theme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lor theme="0"/>
      </font>
    </dxf>
    <dxf>
      <font>
        <color theme="0"/>
      </font>
    </dxf>
    <dxf>
      <fill>
        <patternFill>
          <bgColor rgb="FFCCCCFF"/>
        </patternFill>
      </fill>
      <border>
        <left style="thin">
          <color rgb="FFC0C0C0"/>
        </left>
        <right style="thin">
          <color rgb="FFC0C0C0"/>
        </right>
        <top style="thin">
          <color rgb="FFC0C0C0"/>
        </top>
        <bottom style="thin">
          <color rgb="FFC0C0C0"/>
        </bottom>
      </border>
    </dxf>
    <dxf>
      <font>
        <color theme="0"/>
      </font>
    </dxf>
    <dxf>
      <font>
        <b/>
        <i val="0"/>
      </font>
      <fill>
        <patternFill>
          <bgColor rgb="FFFF505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CCCCFF"/>
        </patternFill>
      </fill>
      <border>
        <left style="thin">
          <color rgb="FFC0C0C0"/>
        </left>
        <right style="thin">
          <color rgb="FFC0C0C0"/>
        </right>
        <top style="thin">
          <color rgb="FFC0C0C0"/>
        </top>
        <bottom style="thin">
          <color rgb="FFC0C0C0"/>
        </bottom>
      </border>
    </dxf>
    <dxf>
      <font>
        <b/>
        <i val="0"/>
      </font>
      <fill>
        <patternFill>
          <bgColor rgb="FFFF505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CCCCFF"/>
        </patternFill>
      </fill>
    </dxf>
    <dxf>
      <fill>
        <patternFill>
          <bgColor rgb="FFCCCCFF"/>
        </patternFill>
      </fill>
    </dxf>
    <dxf>
      <fill>
        <patternFill>
          <bgColor rgb="FFCCCCFF"/>
        </patternFill>
      </fill>
    </dxf>
    <dxf>
      <fill>
        <patternFill>
          <bgColor rgb="FFCCCCFF"/>
        </patternFill>
      </fill>
    </dxf>
    <dxf>
      <fill>
        <patternFill>
          <bgColor rgb="FFCCCCFF"/>
        </patternFill>
      </fill>
    </dxf>
    <dxf>
      <fill>
        <patternFill>
          <bgColor rgb="FFCCCCFF"/>
        </patternFill>
      </fill>
    </dxf>
    <dxf>
      <fill>
        <patternFill>
          <bgColor rgb="FFCCCCFF"/>
        </patternFill>
      </fill>
    </dxf>
    <dxf>
      <fill>
        <patternFill>
          <bgColor rgb="FFCCCCFF"/>
        </patternFill>
      </fill>
    </dxf>
    <dxf>
      <fill>
        <patternFill>
          <bgColor rgb="FFCCCCFF"/>
        </patternFill>
      </fill>
    </dxf>
    <dxf>
      <fill>
        <patternFill>
          <bgColor rgb="FFCCCCFF"/>
        </patternFill>
      </fill>
    </dxf>
    <dxf>
      <font>
        <color theme="0"/>
      </font>
      <fill>
        <patternFill patternType="none">
          <bgColor indexed="65"/>
        </patternFill>
      </fill>
    </dxf>
    <dxf>
      <font>
        <color theme="0"/>
      </font>
      <fill>
        <patternFill patternType="none">
          <bgColor indexed="65"/>
        </patternFill>
      </fill>
    </dxf>
    <dxf>
      <font>
        <color theme="0"/>
      </font>
      <fill>
        <patternFill patternType="none">
          <bgColor indexed="65"/>
        </patternFill>
      </fill>
    </dxf>
    <dxf>
      <font>
        <color theme="0"/>
      </font>
      <fill>
        <patternFill patternType="none">
          <bgColor indexed="65"/>
        </patternFill>
      </fill>
    </dxf>
    <dxf>
      <font>
        <color theme="0"/>
      </font>
      <fill>
        <patternFill patternType="none">
          <bgColor indexed="65"/>
        </patternFill>
      </fill>
    </dxf>
    <dxf>
      <fill>
        <patternFill>
          <bgColor rgb="FFCCCCFF"/>
        </patternFill>
      </fill>
    </dxf>
    <dxf>
      <fill>
        <patternFill>
          <bgColor rgb="FFCCCCFF"/>
        </patternFill>
      </fill>
    </dxf>
    <dxf>
      <fill>
        <patternFill>
          <bgColor rgb="FFCCCCFF"/>
        </patternFill>
      </fill>
    </dxf>
    <dxf>
      <fill>
        <patternFill>
          <bgColor rgb="FFCCCCFF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 patternType="none">
          <bgColor indexed="65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CCCCFF"/>
        </patternFill>
      </fill>
    </dxf>
    <dxf>
      <fill>
        <patternFill>
          <bgColor rgb="FFCCCCFF"/>
        </patternFill>
      </fill>
    </dxf>
    <dxf>
      <fill>
        <patternFill>
          <bgColor rgb="FFCCCCFF"/>
        </patternFill>
      </fill>
    </dxf>
    <dxf>
      <font>
        <condense val="0"/>
        <extend val="0"/>
        <color indexed="9"/>
      </font>
    </dxf>
    <dxf>
      <fill>
        <patternFill>
          <bgColor rgb="FFCCCCFF"/>
        </patternFill>
      </fill>
    </dxf>
    <dxf>
      <font>
        <condense val="0"/>
        <extend val="0"/>
        <color indexed="9"/>
      </font>
    </dxf>
    <dxf>
      <font>
        <color theme="0"/>
      </font>
      <border>
        <left/>
        <right/>
        <top/>
        <bottom/>
      </border>
    </dxf>
    <dxf>
      <fill>
        <patternFill>
          <bgColor rgb="FFCCCCFF"/>
        </patternFill>
      </fill>
    </dxf>
    <dxf>
      <fill>
        <patternFill>
          <bgColor rgb="FFCCCCFF"/>
        </patternFill>
      </fill>
    </dxf>
    <dxf>
      <fill>
        <patternFill>
          <bgColor rgb="FFCCCCFF"/>
        </patternFill>
      </fill>
    </dxf>
    <dxf>
      <fill>
        <patternFill>
          <bgColor rgb="FFCCCCFF"/>
        </patternFill>
      </fill>
    </dxf>
    <dxf>
      <fill>
        <patternFill>
          <bgColor rgb="FFCCCCFF"/>
        </patternFill>
      </fill>
    </dxf>
    <dxf>
      <fill>
        <patternFill>
          <bgColor rgb="FFCCCCFF"/>
        </patternFill>
      </fill>
    </dxf>
    <dxf>
      <fill>
        <patternFill>
          <bgColor rgb="FFCCCCFF"/>
        </patternFill>
      </fill>
    </dxf>
    <dxf>
      <fill>
        <patternFill>
          <bgColor rgb="FFCCCCFF"/>
        </patternFill>
      </fill>
    </dxf>
    <dxf>
      <fill>
        <patternFill>
          <bgColor rgb="FFCCCCFF"/>
        </patternFill>
      </fill>
    </dxf>
    <dxf>
      <fill>
        <patternFill>
          <bgColor rgb="FFCCCCFF"/>
        </patternFill>
      </fill>
    </dxf>
    <dxf>
      <fill>
        <patternFill>
          <bgColor rgb="FFCCCCFF"/>
        </patternFill>
      </fill>
    </dxf>
    <dxf>
      <fill>
        <patternFill>
          <bgColor rgb="FFCCCCFF"/>
        </patternFill>
      </fill>
    </dxf>
    <dxf>
      <fill>
        <patternFill>
          <bgColor rgb="FFCCCCFF"/>
        </patternFill>
      </fill>
    </dxf>
    <dxf>
      <fill>
        <patternFill>
          <bgColor rgb="FFCCCCFF"/>
        </patternFill>
      </fill>
    </dxf>
    <dxf>
      <fill>
        <patternFill>
          <bgColor rgb="FFCCCCFF"/>
        </patternFill>
      </fill>
    </dxf>
    <dxf>
      <fill>
        <patternFill>
          <bgColor rgb="FFCCCCFF"/>
        </patternFill>
      </fill>
    </dxf>
    <dxf>
      <fill>
        <patternFill>
          <bgColor rgb="FFCCCCFF"/>
        </patternFill>
      </fill>
    </dxf>
    <dxf>
      <fill>
        <patternFill>
          <bgColor rgb="FFCCCCFF"/>
        </patternFill>
      </fill>
    </dxf>
    <dxf>
      <fill>
        <patternFill>
          <bgColor rgb="FFCCCCFF"/>
        </patternFill>
      </fill>
    </dxf>
    <dxf>
      <fill>
        <patternFill>
          <bgColor rgb="FFCCCCFF"/>
        </patternFill>
      </fill>
    </dxf>
    <dxf>
      <fill>
        <patternFill>
          <bgColor rgb="FFCCCCFF"/>
        </patternFill>
      </fill>
    </dxf>
    <dxf>
      <fill>
        <patternFill>
          <bgColor rgb="FFCCCCFF"/>
        </patternFill>
      </fill>
    </dxf>
    <dxf>
      <fill>
        <patternFill>
          <bgColor rgb="FFCCCCFF"/>
        </patternFill>
      </fill>
    </dxf>
    <dxf>
      <fill>
        <patternFill>
          <bgColor rgb="FFCCCCFF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24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lor theme="0"/>
      </font>
      <fill>
        <patternFill patternType="none">
          <bgColor indexed="65"/>
        </patternFill>
      </fill>
    </dxf>
    <dxf>
      <font>
        <color theme="0"/>
      </font>
      <fill>
        <patternFill patternType="none">
          <bgColor indexed="65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 patternType="none">
          <bgColor indexed="65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 patternType="none">
          <bgColor indexed="65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CCCCFF"/>
        </patternFill>
      </fill>
    </dxf>
    <dxf>
      <font>
        <color theme="0"/>
      </font>
      <fill>
        <patternFill patternType="none">
          <bgColor indexed="65"/>
        </patternFill>
      </fill>
    </dxf>
    <dxf>
      <font>
        <color theme="0"/>
      </font>
      <fill>
        <patternFill patternType="none">
          <bgColor indexed="65"/>
        </patternFill>
      </fill>
    </dxf>
    <dxf>
      <fill>
        <patternFill>
          <bgColor rgb="FFCCCCFF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color theme="0"/>
      </font>
      <fill>
        <patternFill patternType="none">
          <bgColor indexed="65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CCCCFF"/>
        </patternFill>
      </fill>
    </dxf>
    <dxf>
      <font>
        <color auto="1"/>
      </font>
      <fill>
        <patternFill>
          <bgColor rgb="FFCCCCFF"/>
        </patternFill>
      </fill>
    </dxf>
    <dxf>
      <fill>
        <patternFill>
          <bgColor rgb="FFCCCCFF"/>
        </patternFill>
      </fill>
    </dxf>
    <dxf>
      <font>
        <color theme="0"/>
      </font>
    </dxf>
    <dxf>
      <fill>
        <patternFill>
          <bgColor rgb="FFCCCCFF"/>
        </patternFill>
      </fill>
    </dxf>
    <dxf>
      <font>
        <color theme="0"/>
      </font>
      <fill>
        <patternFill patternType="none">
          <bgColor indexed="65"/>
        </patternFill>
      </fill>
    </dxf>
    <dxf>
      <font>
        <color theme="0"/>
      </font>
      <fill>
        <patternFill patternType="none">
          <bgColor indexed="65"/>
        </patternFill>
      </fill>
    </dxf>
    <dxf>
      <fill>
        <patternFill>
          <bgColor rgb="FFCCCCFF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lor auto="1"/>
      </font>
    </dxf>
    <dxf>
      <font>
        <color theme="0"/>
      </font>
    </dxf>
    <dxf>
      <fill>
        <patternFill>
          <bgColor rgb="FFCCCCFF"/>
        </patternFill>
      </fill>
    </dxf>
    <dxf>
      <fill>
        <patternFill>
          <bgColor rgb="FFCCCCFF"/>
        </patternFill>
      </fill>
    </dxf>
    <dxf>
      <fill>
        <patternFill>
          <bgColor rgb="FFCCCCFF"/>
        </patternFill>
      </fill>
    </dxf>
    <dxf>
      <fill>
        <patternFill>
          <bgColor rgb="FFCCCCFF"/>
        </patternFill>
      </fill>
    </dxf>
    <dxf>
      <fill>
        <patternFill>
          <bgColor rgb="FFCCCCFF"/>
        </patternFill>
      </fill>
    </dxf>
    <dxf>
      <fill>
        <patternFill>
          <bgColor rgb="FFCCCCFF"/>
        </patternFill>
      </fill>
    </dxf>
    <dxf>
      <fill>
        <patternFill>
          <bgColor rgb="FFCCCCFF"/>
        </patternFill>
      </fill>
    </dxf>
    <dxf>
      <fill>
        <patternFill>
          <bgColor rgb="FFCCCC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CCCCFF"/>
        </patternFill>
      </fill>
    </dxf>
    <dxf>
      <fill>
        <patternFill>
          <bgColor rgb="FFCCCCFF"/>
        </patternFill>
      </fill>
    </dxf>
    <dxf>
      <font>
        <color auto="1"/>
      </font>
      <fill>
        <patternFill>
          <bgColor rgb="FFCCCCFF"/>
        </patternFill>
      </fill>
    </dxf>
    <dxf>
      <fill>
        <patternFill>
          <bgColor rgb="FFCCCCFF"/>
        </patternFill>
      </fill>
    </dxf>
    <dxf>
      <fill>
        <patternFill>
          <bgColor rgb="FFCCCCFF"/>
        </patternFill>
      </fill>
    </dxf>
    <dxf>
      <fill>
        <patternFill>
          <bgColor rgb="FFCCCCFF"/>
        </patternFill>
      </fill>
    </dxf>
    <dxf>
      <fill>
        <patternFill>
          <bgColor rgb="FFCCCCFF"/>
        </patternFill>
      </fill>
    </dxf>
    <dxf>
      <font>
        <color theme="0"/>
      </font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border>
        <left/>
        <right/>
        <top/>
        <bottom/>
      </border>
    </dxf>
    <dxf>
      <fill>
        <patternFill>
          <bgColor rgb="FFCCCCFF"/>
        </patternFill>
      </fill>
    </dxf>
    <dxf>
      <fill>
        <patternFill>
          <bgColor rgb="FFCCCCFF"/>
        </patternFill>
      </fill>
    </dxf>
    <dxf>
      <fill>
        <patternFill>
          <bgColor rgb="FFCCCCFF"/>
        </patternFill>
      </fill>
    </dxf>
    <dxf>
      <font>
        <color auto="1"/>
      </font>
    </dxf>
    <dxf>
      <fill>
        <patternFill>
          <bgColor rgb="FFCCCCFF"/>
        </patternFill>
      </fill>
    </dxf>
    <dxf>
      <font>
        <color auto="1"/>
      </font>
      <fill>
        <patternFill>
          <bgColor rgb="FFCCCCFF"/>
        </patternFill>
      </fill>
    </dxf>
    <dxf>
      <font>
        <color auto="1"/>
      </font>
      <fill>
        <patternFill>
          <bgColor rgb="FFCCCCFF"/>
        </patternFill>
      </fill>
    </dxf>
    <dxf>
      <font>
        <color auto="1"/>
      </font>
      <fill>
        <patternFill>
          <bgColor rgb="FFCCCCFF"/>
        </patternFill>
      </fill>
    </dxf>
    <dxf>
      <font>
        <color auto="1"/>
      </font>
      <fill>
        <patternFill>
          <bgColor rgb="FFCCCCFF"/>
        </patternFill>
      </fill>
    </dxf>
    <dxf>
      <font>
        <color auto="1"/>
      </font>
      <fill>
        <patternFill>
          <bgColor rgb="FFCCCCFF"/>
        </patternFill>
      </fill>
    </dxf>
    <dxf>
      <font>
        <color auto="1"/>
      </font>
      <fill>
        <patternFill>
          <bgColor rgb="FFCCCCFF"/>
        </patternFill>
      </fill>
    </dxf>
    <dxf>
      <font>
        <color auto="1"/>
      </font>
      <fill>
        <patternFill>
          <bgColor rgb="FFCCCCFF"/>
        </patternFill>
      </fill>
      <border>
        <left style="thin">
          <color rgb="FFC0C0C0"/>
        </left>
        <right style="thin">
          <color rgb="FFC0C0C0"/>
        </right>
        <top style="thin">
          <color rgb="FFC0C0C0"/>
        </top>
        <bottom style="thin">
          <color rgb="FFC0C0C0"/>
        </bottom>
      </border>
    </dxf>
    <dxf>
      <font>
        <color auto="1"/>
        <name val="Cambria"/>
        <family val="1"/>
        <scheme val="none"/>
      </font>
      <fill>
        <patternFill patternType="solid">
          <bgColor rgb="FFCCCCFF"/>
        </patternFill>
      </fill>
      <border>
        <left style="thin">
          <color rgb="FFC0C0C0"/>
        </left>
        <right style="thin">
          <color rgb="FFC0C0C0"/>
        </right>
        <top style="thin">
          <color rgb="FFC0C0C0"/>
        </top>
        <bottom style="thin">
          <color rgb="FFC0C0C0"/>
        </bottom>
      </border>
    </dxf>
    <dxf>
      <font>
        <color theme="0"/>
      </font>
      <fill>
        <patternFill patternType="none">
          <bgColor indexed="65"/>
        </patternFill>
      </fill>
    </dxf>
    <dxf>
      <font>
        <color theme="0"/>
      </font>
      <fill>
        <patternFill patternType="none">
          <bgColor indexed="65"/>
        </patternFill>
      </fill>
    </dxf>
    <dxf>
      <font>
        <color auto="1"/>
      </font>
      <fill>
        <patternFill>
          <bgColor rgb="FFCCCCFF"/>
        </patternFill>
      </fill>
    </dxf>
    <dxf>
      <font>
        <color auto="1"/>
      </font>
      <fill>
        <patternFill>
          <bgColor rgb="FFCCCCFF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rgb="FFCCCCFF"/>
        </patternFill>
      </fill>
    </dxf>
    <dxf>
      <fill>
        <patternFill>
          <bgColor rgb="FFCCCCFF"/>
        </patternFill>
      </fill>
    </dxf>
    <dxf>
      <fill>
        <patternFill>
          <bgColor rgb="FFCCCCFF"/>
        </patternFill>
      </fill>
    </dxf>
    <dxf>
      <font>
        <color theme="0"/>
      </font>
      <fill>
        <patternFill patternType="none">
          <bgColor indexed="65"/>
        </patternFill>
      </fill>
    </dxf>
    <dxf>
      <font>
        <color theme="0"/>
      </font>
      <fill>
        <patternFill patternType="none">
          <bgColor indexed="65"/>
        </patternFill>
      </fill>
    </dxf>
    <dxf>
      <font>
        <color theme="0"/>
      </font>
      <fill>
        <patternFill patternType="none">
          <bgColor indexed="65"/>
        </patternFill>
      </fill>
    </dxf>
    <dxf>
      <font>
        <color auto="1"/>
      </font>
      <fill>
        <patternFill patternType="solid">
          <bgColor rgb="FFCCCCFF"/>
        </patternFill>
      </fill>
      <border>
        <left style="thin">
          <color rgb="FFC0C0C0"/>
        </left>
        <right style="thin">
          <color rgb="FFC0C0C0"/>
        </right>
        <top style="thin">
          <color rgb="FFC0C0C0"/>
        </top>
        <bottom style="thin">
          <color rgb="FFC0C0C0"/>
        </bottom>
      </border>
    </dxf>
    <dxf>
      <fill>
        <patternFill patternType="none">
          <bgColor indexed="65"/>
        </patternFill>
      </fill>
      <border>
        <left style="thin">
          <color rgb="FFC0C0C0"/>
        </left>
        <right style="thin">
          <color rgb="FFC0C0C0"/>
        </right>
        <top style="thin">
          <color rgb="FFC0C0C0"/>
        </top>
        <bottom style="thin">
          <color rgb="FFC0C0C0"/>
        </bottom>
      </border>
    </dxf>
    <dxf>
      <font>
        <color auto="1"/>
      </font>
      <fill>
        <patternFill>
          <bgColor rgb="FFCCCCFF"/>
        </patternFill>
      </fill>
    </dxf>
    <dxf>
      <fill>
        <patternFill>
          <bgColor rgb="FFCCCCFF"/>
        </patternFill>
      </fill>
    </dxf>
    <dxf>
      <fill>
        <patternFill>
          <bgColor rgb="FFCCCCFF"/>
        </patternFill>
      </fill>
    </dxf>
    <dxf>
      <fill>
        <patternFill>
          <bgColor rgb="FFCCCCFF"/>
        </patternFill>
      </fill>
    </dxf>
    <dxf>
      <font>
        <color auto="1"/>
        <name val="Cambria"/>
        <family val="1"/>
        <scheme val="none"/>
      </font>
      <fill>
        <patternFill>
          <bgColor rgb="FFCCCCFF"/>
        </patternFill>
      </fill>
      <border>
        <left style="thin">
          <color rgb="FFC0C0C0"/>
        </left>
        <right style="thin">
          <color rgb="FFC0C0C0"/>
        </right>
        <top style="thin">
          <color rgb="FFC0C0C0"/>
        </top>
        <bottom style="thin">
          <color rgb="FFC0C0C0"/>
        </bottom>
      </border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lor theme="0"/>
      </font>
      <fill>
        <patternFill patternType="none">
          <bgColor indexed="65"/>
        </patternFill>
      </fill>
      <border>
        <left style="thin">
          <color rgb="FFCCCCFF"/>
        </left>
        <right style="thin">
          <color rgb="FFCCCCFF"/>
        </right>
        <top style="thin">
          <color rgb="FFCCCCFF"/>
        </top>
        <bottom style="thin">
          <color rgb="FFCCCCFF"/>
        </bottom>
      </border>
    </dxf>
    <dxf>
      <font>
        <color theme="0"/>
      </font>
      <fill>
        <patternFill patternType="none">
          <bgColor indexed="65"/>
        </patternFill>
      </fill>
      <border>
        <left style="thin">
          <color rgb="FFCCCCFF"/>
        </left>
        <right style="thin">
          <color rgb="FFCCCCFF"/>
        </right>
        <top style="thin">
          <color rgb="FFCCCCFF"/>
        </top>
        <bottom style="thin">
          <color rgb="FFCCCCFF"/>
        </bottom>
      </border>
    </dxf>
    <dxf>
      <font>
        <color rgb="FFC0C0C0"/>
      </font>
      <fill>
        <patternFill>
          <bgColor rgb="FFCCCCFF"/>
        </patternFill>
      </fill>
      <border>
        <left style="thin">
          <color rgb="FFC0C0C0"/>
        </left>
        <right style="thin">
          <color rgb="FFC0C0C0"/>
        </right>
        <top style="thin">
          <color rgb="FFC0C0C0"/>
        </top>
        <bottom style="thin">
          <color rgb="FFC0C0C0"/>
        </bottom>
      </border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lor theme="0"/>
      </font>
    </dxf>
    <dxf>
      <font>
        <color auto="1"/>
        <name val="Cambria"/>
        <family val="1"/>
        <scheme val="none"/>
      </font>
      <fill>
        <patternFill>
          <bgColor rgb="FFCCCCFF"/>
        </patternFill>
      </fill>
      <border>
        <left style="thin">
          <color rgb="FFC0C0C0"/>
        </left>
        <right style="thin">
          <color rgb="FFC0C0C0"/>
        </right>
        <top style="thin">
          <color rgb="FFC0C0C0"/>
        </top>
        <bottom style="thin">
          <color rgb="FFC0C0C0"/>
        </bottom>
      </border>
    </dxf>
    <dxf>
      <font>
        <color theme="0"/>
      </font>
    </dxf>
    <dxf>
      <font>
        <b/>
        <i val="0"/>
      </font>
    </dxf>
    <dxf>
      <font>
        <b/>
        <i val="0"/>
        <color rgb="FFFF000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</dxf>
    <dxf>
      <font>
        <color rgb="FFCCCCFF"/>
        <name val="Cambria"/>
        <family val="1"/>
        <scheme val="none"/>
      </font>
      <fill>
        <patternFill>
          <bgColor rgb="FFCCCCFF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lor auto="1"/>
        <name val="Cambria"/>
        <family val="1"/>
        <scheme val="none"/>
      </font>
      <border>
        <left style="thin">
          <color rgb="FFC0C0C0"/>
        </left>
        <right style="thin">
          <color rgb="FFC0C0C0"/>
        </right>
        <top style="thin">
          <color rgb="FFC0C0C0"/>
        </top>
        <bottom style="thin">
          <color rgb="FFC0C0C0"/>
        </bottom>
      </border>
    </dxf>
    <dxf>
      <font>
        <color auto="1"/>
        <name val="Cambria"/>
        <family val="1"/>
        <scheme val="none"/>
      </font>
      <border>
        <left style="thin">
          <color rgb="FFC0C0C0"/>
        </left>
        <right style="thin">
          <color rgb="FFC0C0C0"/>
        </right>
        <top style="thin">
          <color rgb="FFC0C0C0"/>
        </top>
        <bottom style="thin">
          <color rgb="FFC0C0C0"/>
        </bottom>
      </border>
    </dxf>
    <dxf>
      <font>
        <color auto="1"/>
        <name val="Cambria"/>
        <family val="1"/>
        <scheme val="none"/>
      </font>
      <border>
        <left style="thin">
          <color rgb="FFC0C0C0"/>
        </left>
        <right style="thin">
          <color rgb="FFC0C0C0"/>
        </right>
        <top style="thin">
          <color rgb="FFC0C0C0"/>
        </top>
        <bottom style="thin">
          <color rgb="FFC0C0C0"/>
        </bottom>
      </border>
    </dxf>
    <dxf>
      <font>
        <color auto="1"/>
      </font>
      <fill>
        <patternFill patternType="none">
          <bgColor indexed="65"/>
        </patternFill>
      </fill>
      <border>
        <left style="thin">
          <color rgb="FFC0C0C0"/>
        </left>
        <right style="thin">
          <color rgb="FFC0C0C0"/>
        </right>
        <top style="thin">
          <color rgb="FFC0C0C0"/>
        </top>
        <bottom style="thin">
          <color rgb="FFC0C0C0"/>
        </bottom>
      </border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160020</xdr:colOff>
      <xdr:row>34</xdr:row>
      <xdr:rowOff>114300</xdr:rowOff>
    </xdr:from>
    <xdr:to>
      <xdr:col>16</xdr:col>
      <xdr:colOff>15240</xdr:colOff>
      <xdr:row>37</xdr:row>
      <xdr:rowOff>129540</xdr:rowOff>
    </xdr:to>
    <xdr:pic macro="[0]!VeriAWP">
      <xdr:nvPicPr>
        <xdr:cNvPr id="144049" name="lcaixa" descr="Logo_CAIXA.gif">
          <a:extLst>
            <a:ext uri="{FF2B5EF4-FFF2-40B4-BE49-F238E27FC236}">
              <a16:creationId xmlns:a16="http://schemas.microsoft.com/office/drawing/2014/main" id="{B53586B3-D83F-4E1A-B087-0FB5C3B6DA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" y="5052060"/>
          <a:ext cx="1303020" cy="304800"/>
        </a:xfrm>
        <a:prstGeom prst="rect">
          <a:avLst/>
        </a:prstGeom>
        <a:noFill/>
        <a:ln w="50800">
          <a:solidFill>
            <a:srgbClr val="FFFFFF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22860</xdr:colOff>
      <xdr:row>12</xdr:row>
      <xdr:rowOff>38100</xdr:rowOff>
    </xdr:from>
    <xdr:to>
      <xdr:col>6</xdr:col>
      <xdr:colOff>106680</xdr:colOff>
      <xdr:row>12</xdr:row>
      <xdr:rowOff>114300</xdr:rowOff>
    </xdr:to>
    <xdr:sp macro="" textlink="">
      <xdr:nvSpPr>
        <xdr:cNvPr id="144050" name="Quad1">
          <a:extLst>
            <a:ext uri="{FF2B5EF4-FFF2-40B4-BE49-F238E27FC236}">
              <a16:creationId xmlns:a16="http://schemas.microsoft.com/office/drawing/2014/main" id="{AF2DA7FB-9791-4555-ACB9-882172C788A5}"/>
            </a:ext>
          </a:extLst>
        </xdr:cNvPr>
        <xdr:cNvSpPr>
          <a:spLocks noChangeArrowheads="1"/>
        </xdr:cNvSpPr>
      </xdr:nvSpPr>
      <xdr:spPr bwMode="auto">
        <a:xfrm>
          <a:off x="83820" y="1531620"/>
          <a:ext cx="83820" cy="0"/>
        </a:xfrm>
        <a:prstGeom prst="rect">
          <a:avLst/>
        </a:prstGeom>
        <a:noFill/>
        <a:ln w="127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</a:extLst>
      </xdr:spPr>
    </xdr:sp>
    <xdr:clientData/>
  </xdr:twoCellAnchor>
  <xdr:twoCellAnchor>
    <xdr:from>
      <xdr:col>10</xdr:col>
      <xdr:colOff>22860</xdr:colOff>
      <xdr:row>12</xdr:row>
      <xdr:rowOff>38100</xdr:rowOff>
    </xdr:from>
    <xdr:to>
      <xdr:col>10</xdr:col>
      <xdr:colOff>106680</xdr:colOff>
      <xdr:row>12</xdr:row>
      <xdr:rowOff>114300</xdr:rowOff>
    </xdr:to>
    <xdr:sp macro="" textlink="">
      <xdr:nvSpPr>
        <xdr:cNvPr id="144051" name="Quad2">
          <a:extLst>
            <a:ext uri="{FF2B5EF4-FFF2-40B4-BE49-F238E27FC236}">
              <a16:creationId xmlns:a16="http://schemas.microsoft.com/office/drawing/2014/main" id="{439531AF-1E20-4E80-9D7D-8A1C06B52878}"/>
            </a:ext>
          </a:extLst>
        </xdr:cNvPr>
        <xdr:cNvSpPr>
          <a:spLocks noChangeArrowheads="1"/>
        </xdr:cNvSpPr>
      </xdr:nvSpPr>
      <xdr:spPr bwMode="auto">
        <a:xfrm>
          <a:off x="723900" y="1531620"/>
          <a:ext cx="8382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3333" mc:Ignorable="a14" a14:legacySpreadsheetColorIndex="63"/>
        </a:soli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miter lim="800000"/>
          <a:headEnd/>
          <a:tailEnd/>
        </a:ln>
      </xdr:spPr>
    </xdr:sp>
    <xdr:clientData/>
  </xdr:twoCellAnchor>
  <xdr:twoCellAnchor editAs="oneCell">
    <xdr:from>
      <xdr:col>8</xdr:col>
      <xdr:colOff>38100</xdr:colOff>
      <xdr:row>2</xdr:row>
      <xdr:rowOff>68580</xdr:rowOff>
    </xdr:from>
    <xdr:to>
      <xdr:col>16</xdr:col>
      <xdr:colOff>53340</xdr:colOff>
      <xdr:row>3</xdr:row>
      <xdr:rowOff>129540</xdr:rowOff>
    </xdr:to>
    <xdr:pic macro="[0]!AbreLista">
      <xdr:nvPicPr>
        <xdr:cNvPr id="144052" name="lcaixa" descr="Logo_CAIXA.gif">
          <a:extLst>
            <a:ext uri="{FF2B5EF4-FFF2-40B4-BE49-F238E27FC236}">
              <a16:creationId xmlns:a16="http://schemas.microsoft.com/office/drawing/2014/main" id="{BBC92B07-8FA2-4561-BACA-13108EE7B0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" y="243840"/>
          <a:ext cx="1303020" cy="266700"/>
        </a:xfrm>
        <a:prstGeom prst="rect">
          <a:avLst/>
        </a:prstGeom>
        <a:noFill/>
        <a:ln w="50800">
          <a:solidFill>
            <a:srgbClr val="FFFFFF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141</xdr:row>
      <xdr:rowOff>38100</xdr:rowOff>
    </xdr:from>
    <xdr:to>
      <xdr:col>7</xdr:col>
      <xdr:colOff>129540</xdr:colOff>
      <xdr:row>144</xdr:row>
      <xdr:rowOff>0</xdr:rowOff>
    </xdr:to>
    <xdr:pic macro="[0]!InsFot">
      <xdr:nvPicPr>
        <xdr:cNvPr id="144053" name="Imagem 8">
          <a:extLst>
            <a:ext uri="{FF2B5EF4-FFF2-40B4-BE49-F238E27FC236}">
              <a16:creationId xmlns:a16="http://schemas.microsoft.com/office/drawing/2014/main" id="{B4708AEB-AF6E-4E39-8773-7ADEBA4D64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" y="18409920"/>
          <a:ext cx="289560" cy="3733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33</xdr:col>
      <xdr:colOff>121920</xdr:colOff>
      <xdr:row>161</xdr:row>
      <xdr:rowOff>83820</xdr:rowOff>
    </xdr:from>
    <xdr:to>
      <xdr:col>34</xdr:col>
      <xdr:colOff>129540</xdr:colOff>
      <xdr:row>162</xdr:row>
      <xdr:rowOff>114300</xdr:rowOff>
    </xdr:to>
    <xdr:pic macro="[0]!LmpFoto">
      <xdr:nvPicPr>
        <xdr:cNvPr id="144054" name="Imagem 9">
          <a:extLst>
            <a:ext uri="{FF2B5EF4-FFF2-40B4-BE49-F238E27FC236}">
              <a16:creationId xmlns:a16="http://schemas.microsoft.com/office/drawing/2014/main" id="{F51ECFA5-E5C2-40BC-9847-FDCEE302BA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03420" y="21198840"/>
          <a:ext cx="175260" cy="1676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49530</xdr:colOff>
      <xdr:row>0</xdr:row>
      <xdr:rowOff>38100</xdr:rowOff>
    </xdr:from>
    <xdr:to>
      <xdr:col>22</xdr:col>
      <xdr:colOff>480723</xdr:colOff>
      <xdr:row>0</xdr:row>
      <xdr:rowOff>342833</xdr:rowOff>
    </xdr:to>
    <xdr:sp macro="[0]!AbreLista" textlink="">
      <xdr:nvSpPr>
        <xdr:cNvPr id="2" name="Retângulo 1">
          <a:extLst>
            <a:ext uri="{FF2B5EF4-FFF2-40B4-BE49-F238E27FC236}">
              <a16:creationId xmlns:a16="http://schemas.microsoft.com/office/drawing/2014/main" id="{75158B1C-F012-43BE-8BB1-A5C8B498286D}"/>
            </a:ext>
          </a:extLst>
        </xdr:cNvPr>
        <xdr:cNvSpPr/>
      </xdr:nvSpPr>
      <xdr:spPr>
        <a:xfrm>
          <a:off x="26698575" y="38100"/>
          <a:ext cx="523875" cy="3048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pt-BR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22860</xdr:colOff>
      <xdr:row>12</xdr:row>
      <xdr:rowOff>38100</xdr:rowOff>
    </xdr:from>
    <xdr:to>
      <xdr:col>6</xdr:col>
      <xdr:colOff>106680</xdr:colOff>
      <xdr:row>12</xdr:row>
      <xdr:rowOff>114300</xdr:rowOff>
    </xdr:to>
    <xdr:sp macro="" textlink="">
      <xdr:nvSpPr>
        <xdr:cNvPr id="161409" name="Quad1">
          <a:extLst>
            <a:ext uri="{FF2B5EF4-FFF2-40B4-BE49-F238E27FC236}">
              <a16:creationId xmlns:a16="http://schemas.microsoft.com/office/drawing/2014/main" id="{750D6627-E612-459E-8DED-9BFACC90E772}"/>
            </a:ext>
          </a:extLst>
        </xdr:cNvPr>
        <xdr:cNvSpPr>
          <a:spLocks noChangeArrowheads="1"/>
        </xdr:cNvSpPr>
      </xdr:nvSpPr>
      <xdr:spPr bwMode="auto">
        <a:xfrm>
          <a:off x="83820" y="1592580"/>
          <a:ext cx="83820" cy="0"/>
        </a:xfrm>
        <a:prstGeom prst="rect">
          <a:avLst/>
        </a:prstGeom>
        <a:noFill/>
        <a:ln w="127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</a:extLst>
      </xdr:spPr>
    </xdr:sp>
    <xdr:clientData/>
  </xdr:twoCellAnchor>
  <xdr:twoCellAnchor>
    <xdr:from>
      <xdr:col>10</xdr:col>
      <xdr:colOff>22860</xdr:colOff>
      <xdr:row>12</xdr:row>
      <xdr:rowOff>38100</xdr:rowOff>
    </xdr:from>
    <xdr:to>
      <xdr:col>10</xdr:col>
      <xdr:colOff>106680</xdr:colOff>
      <xdr:row>12</xdr:row>
      <xdr:rowOff>114300</xdr:rowOff>
    </xdr:to>
    <xdr:sp macro="" textlink="">
      <xdr:nvSpPr>
        <xdr:cNvPr id="161410" name="Quad2">
          <a:extLst>
            <a:ext uri="{FF2B5EF4-FFF2-40B4-BE49-F238E27FC236}">
              <a16:creationId xmlns:a16="http://schemas.microsoft.com/office/drawing/2014/main" id="{4A048326-8B69-4C55-A39A-F564399B6867}"/>
            </a:ext>
          </a:extLst>
        </xdr:cNvPr>
        <xdr:cNvSpPr>
          <a:spLocks noChangeArrowheads="1"/>
        </xdr:cNvSpPr>
      </xdr:nvSpPr>
      <xdr:spPr bwMode="auto">
        <a:xfrm>
          <a:off x="723900" y="1592580"/>
          <a:ext cx="8382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3333" mc:Ignorable="a14" a14:legacySpreadsheetColorIndex="63"/>
        </a:soli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miter lim="800000"/>
          <a:headEnd/>
          <a:tailEnd/>
        </a:ln>
      </xdr:spPr>
    </xdr:sp>
    <xdr:clientData/>
  </xdr:twoCellAnchor>
  <xdr:twoCellAnchor editAs="oneCell">
    <xdr:from>
      <xdr:col>11</xdr:col>
      <xdr:colOff>7620</xdr:colOff>
      <xdr:row>41</xdr:row>
      <xdr:rowOff>91440</xdr:rowOff>
    </xdr:from>
    <xdr:to>
      <xdr:col>49</xdr:col>
      <xdr:colOff>0</xdr:colOff>
      <xdr:row>47</xdr:row>
      <xdr:rowOff>53340</xdr:rowOff>
    </xdr:to>
    <xdr:pic>
      <xdr:nvPicPr>
        <xdr:cNvPr id="161411" name="Imagem 29">
          <a:extLst>
            <a:ext uri="{FF2B5EF4-FFF2-40B4-BE49-F238E27FC236}">
              <a16:creationId xmlns:a16="http://schemas.microsoft.com/office/drawing/2014/main" id="{6C1C028B-781A-4654-98A2-6A25383D17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" y="6819900"/>
          <a:ext cx="6073140" cy="41224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PrintsWithSheet="0"/>
  </xdr:twoCellAnchor>
  <xdr:twoCellAnchor editAs="oneCell">
    <xdr:from>
      <xdr:col>8</xdr:col>
      <xdr:colOff>7620</xdr:colOff>
      <xdr:row>2</xdr:row>
      <xdr:rowOff>68580</xdr:rowOff>
    </xdr:from>
    <xdr:to>
      <xdr:col>16</xdr:col>
      <xdr:colOff>15240</xdr:colOff>
      <xdr:row>3</xdr:row>
      <xdr:rowOff>129540</xdr:rowOff>
    </xdr:to>
    <xdr:pic>
      <xdr:nvPicPr>
        <xdr:cNvPr id="161412" name="lcaixa" descr="Logo_CAIXA.gif">
          <a:extLst>
            <a:ext uri="{FF2B5EF4-FFF2-40B4-BE49-F238E27FC236}">
              <a16:creationId xmlns:a16="http://schemas.microsoft.com/office/drawing/2014/main" id="{31B2C4FF-43A7-4C82-BFA6-CB058DCC88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8620" y="304800"/>
          <a:ext cx="1287780" cy="266700"/>
        </a:xfrm>
        <a:prstGeom prst="rect">
          <a:avLst/>
        </a:prstGeom>
        <a:noFill/>
        <a:ln w="50800">
          <a:solidFill>
            <a:srgbClr val="FFFFFF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7620</xdr:colOff>
      <xdr:row>50</xdr:row>
      <xdr:rowOff>22860</xdr:rowOff>
    </xdr:from>
    <xdr:to>
      <xdr:col>16</xdr:col>
      <xdr:colOff>15240</xdr:colOff>
      <xdr:row>53</xdr:row>
      <xdr:rowOff>0</xdr:rowOff>
    </xdr:to>
    <xdr:pic macro="[0]!VeriAWP">
      <xdr:nvPicPr>
        <xdr:cNvPr id="161413" name="lcaixa" descr="Logo_CAIXA.gif">
          <a:extLst>
            <a:ext uri="{FF2B5EF4-FFF2-40B4-BE49-F238E27FC236}">
              <a16:creationId xmlns:a16="http://schemas.microsoft.com/office/drawing/2014/main" id="{1C9A32F3-6421-4D70-9550-DB05708387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8620" y="11239500"/>
          <a:ext cx="1287780" cy="297180"/>
        </a:xfrm>
        <a:prstGeom prst="rect">
          <a:avLst/>
        </a:prstGeom>
        <a:noFill/>
        <a:ln w="50800">
          <a:solidFill>
            <a:srgbClr val="FFFFFF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28</xdr:col>
      <xdr:colOff>15240</xdr:colOff>
      <xdr:row>110</xdr:row>
      <xdr:rowOff>76200</xdr:rowOff>
    </xdr:from>
    <xdr:to>
      <xdr:col>29</xdr:col>
      <xdr:colOff>137160</xdr:colOff>
      <xdr:row>113</xdr:row>
      <xdr:rowOff>15240</xdr:rowOff>
    </xdr:to>
    <xdr:pic macro="[0]!InsFot">
      <xdr:nvPicPr>
        <xdr:cNvPr id="161414" name="Imagem 36">
          <a:extLst>
            <a:ext uri="{FF2B5EF4-FFF2-40B4-BE49-F238E27FC236}">
              <a16:creationId xmlns:a16="http://schemas.microsoft.com/office/drawing/2014/main" id="{E0291DD6-CAB2-4A00-8BD2-1B4E3A6095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96640" y="18790920"/>
          <a:ext cx="281940" cy="3505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47</xdr:col>
      <xdr:colOff>106680</xdr:colOff>
      <xdr:row>122</xdr:row>
      <xdr:rowOff>60960</xdr:rowOff>
    </xdr:from>
    <xdr:to>
      <xdr:col>48</xdr:col>
      <xdr:colOff>114300</xdr:colOff>
      <xdr:row>123</xdr:row>
      <xdr:rowOff>99060</xdr:rowOff>
    </xdr:to>
    <xdr:pic macro="[0]!LmpFoto">
      <xdr:nvPicPr>
        <xdr:cNvPr id="161415" name="Imagem 51">
          <a:extLst>
            <a:ext uri="{FF2B5EF4-FFF2-40B4-BE49-F238E27FC236}">
              <a16:creationId xmlns:a16="http://schemas.microsoft.com/office/drawing/2014/main" id="{3C089141-0D8D-4831-BB3C-7E006BBFB9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28460" y="20421600"/>
          <a:ext cx="167640" cy="1752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15240</xdr:colOff>
      <xdr:row>126</xdr:row>
      <xdr:rowOff>68580</xdr:rowOff>
    </xdr:from>
    <xdr:to>
      <xdr:col>7</xdr:col>
      <xdr:colOff>137160</xdr:colOff>
      <xdr:row>129</xdr:row>
      <xdr:rowOff>22860</xdr:rowOff>
    </xdr:to>
    <xdr:pic macro="[0]!InsFot">
      <xdr:nvPicPr>
        <xdr:cNvPr id="161416" name="Imagem 52">
          <a:extLst>
            <a:ext uri="{FF2B5EF4-FFF2-40B4-BE49-F238E27FC236}">
              <a16:creationId xmlns:a16="http://schemas.microsoft.com/office/drawing/2014/main" id="{9D9B6219-4D91-4965-80BA-D5C6CB0A48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20977860"/>
          <a:ext cx="281940" cy="3657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25</xdr:col>
      <xdr:colOff>106680</xdr:colOff>
      <xdr:row>138</xdr:row>
      <xdr:rowOff>60960</xdr:rowOff>
    </xdr:from>
    <xdr:to>
      <xdr:col>26</xdr:col>
      <xdr:colOff>114300</xdr:colOff>
      <xdr:row>139</xdr:row>
      <xdr:rowOff>99060</xdr:rowOff>
    </xdr:to>
    <xdr:pic macro="[0]!LmpFoto">
      <xdr:nvPicPr>
        <xdr:cNvPr id="161417" name="Imagem 53">
          <a:extLst>
            <a:ext uri="{FF2B5EF4-FFF2-40B4-BE49-F238E27FC236}">
              <a16:creationId xmlns:a16="http://schemas.microsoft.com/office/drawing/2014/main" id="{7E6C0C16-4B63-41AB-9A00-2395CD1054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8020" y="22616160"/>
          <a:ext cx="167640" cy="1752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28</xdr:col>
      <xdr:colOff>15240</xdr:colOff>
      <xdr:row>126</xdr:row>
      <xdr:rowOff>68580</xdr:rowOff>
    </xdr:from>
    <xdr:to>
      <xdr:col>29</xdr:col>
      <xdr:colOff>137160</xdr:colOff>
      <xdr:row>129</xdr:row>
      <xdr:rowOff>22860</xdr:rowOff>
    </xdr:to>
    <xdr:pic macro="[0]!InsFot">
      <xdr:nvPicPr>
        <xdr:cNvPr id="161418" name="Imagem 54">
          <a:extLst>
            <a:ext uri="{FF2B5EF4-FFF2-40B4-BE49-F238E27FC236}">
              <a16:creationId xmlns:a16="http://schemas.microsoft.com/office/drawing/2014/main" id="{526E07E8-DF53-4885-9190-E6C07A2C77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96640" y="20977860"/>
          <a:ext cx="281940" cy="3657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47</xdr:col>
      <xdr:colOff>106680</xdr:colOff>
      <xdr:row>138</xdr:row>
      <xdr:rowOff>60960</xdr:rowOff>
    </xdr:from>
    <xdr:to>
      <xdr:col>48</xdr:col>
      <xdr:colOff>114300</xdr:colOff>
      <xdr:row>139</xdr:row>
      <xdr:rowOff>99060</xdr:rowOff>
    </xdr:to>
    <xdr:pic macro="[0]!LmpFoto">
      <xdr:nvPicPr>
        <xdr:cNvPr id="161419" name="Imagem 55">
          <a:extLst>
            <a:ext uri="{FF2B5EF4-FFF2-40B4-BE49-F238E27FC236}">
              <a16:creationId xmlns:a16="http://schemas.microsoft.com/office/drawing/2014/main" id="{6D289405-6FBE-4530-911E-0BECEDC9D2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28460" y="22616160"/>
          <a:ext cx="167640" cy="1752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15240</xdr:colOff>
      <xdr:row>142</xdr:row>
      <xdr:rowOff>68580</xdr:rowOff>
    </xdr:from>
    <xdr:to>
      <xdr:col>7</xdr:col>
      <xdr:colOff>137160</xdr:colOff>
      <xdr:row>145</xdr:row>
      <xdr:rowOff>22860</xdr:rowOff>
    </xdr:to>
    <xdr:pic macro="[0]!InsFot">
      <xdr:nvPicPr>
        <xdr:cNvPr id="161420" name="Imagem 56">
          <a:extLst>
            <a:ext uri="{FF2B5EF4-FFF2-40B4-BE49-F238E27FC236}">
              <a16:creationId xmlns:a16="http://schemas.microsoft.com/office/drawing/2014/main" id="{102D512D-7758-4A33-B368-F7F069E6BB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23172420"/>
          <a:ext cx="281940" cy="3657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25</xdr:col>
      <xdr:colOff>106680</xdr:colOff>
      <xdr:row>154</xdr:row>
      <xdr:rowOff>60960</xdr:rowOff>
    </xdr:from>
    <xdr:to>
      <xdr:col>26</xdr:col>
      <xdr:colOff>114300</xdr:colOff>
      <xdr:row>155</xdr:row>
      <xdr:rowOff>99060</xdr:rowOff>
    </xdr:to>
    <xdr:pic macro="[0]!LmpFoto">
      <xdr:nvPicPr>
        <xdr:cNvPr id="161421" name="Imagem 57">
          <a:extLst>
            <a:ext uri="{FF2B5EF4-FFF2-40B4-BE49-F238E27FC236}">
              <a16:creationId xmlns:a16="http://schemas.microsoft.com/office/drawing/2014/main" id="{B4EB2D10-0EFA-44FC-9778-590B5B7E41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8020" y="24810720"/>
          <a:ext cx="167640" cy="1752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28</xdr:col>
      <xdr:colOff>15240</xdr:colOff>
      <xdr:row>142</xdr:row>
      <xdr:rowOff>68580</xdr:rowOff>
    </xdr:from>
    <xdr:to>
      <xdr:col>29</xdr:col>
      <xdr:colOff>137160</xdr:colOff>
      <xdr:row>145</xdr:row>
      <xdr:rowOff>22860</xdr:rowOff>
    </xdr:to>
    <xdr:pic macro="[0]!InsFot">
      <xdr:nvPicPr>
        <xdr:cNvPr id="161422" name="Imagem 58">
          <a:extLst>
            <a:ext uri="{FF2B5EF4-FFF2-40B4-BE49-F238E27FC236}">
              <a16:creationId xmlns:a16="http://schemas.microsoft.com/office/drawing/2014/main" id="{05FA788C-5227-4E72-A0C5-754FC7BE15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96640" y="23172420"/>
          <a:ext cx="281940" cy="3657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47</xdr:col>
      <xdr:colOff>106680</xdr:colOff>
      <xdr:row>154</xdr:row>
      <xdr:rowOff>60960</xdr:rowOff>
    </xdr:from>
    <xdr:to>
      <xdr:col>48</xdr:col>
      <xdr:colOff>114300</xdr:colOff>
      <xdr:row>155</xdr:row>
      <xdr:rowOff>99060</xdr:rowOff>
    </xdr:to>
    <xdr:pic macro="[0]!LmpFoto">
      <xdr:nvPicPr>
        <xdr:cNvPr id="161423" name="Imagem 59">
          <a:extLst>
            <a:ext uri="{FF2B5EF4-FFF2-40B4-BE49-F238E27FC236}">
              <a16:creationId xmlns:a16="http://schemas.microsoft.com/office/drawing/2014/main" id="{FA751B61-9843-4CCA-B563-98DB0EA342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28460" y="24810720"/>
          <a:ext cx="167640" cy="1752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15240</xdr:colOff>
      <xdr:row>159</xdr:row>
      <xdr:rowOff>68580</xdr:rowOff>
    </xdr:from>
    <xdr:to>
      <xdr:col>7</xdr:col>
      <xdr:colOff>137160</xdr:colOff>
      <xdr:row>162</xdr:row>
      <xdr:rowOff>22860</xdr:rowOff>
    </xdr:to>
    <xdr:pic macro="[0]!InsFot">
      <xdr:nvPicPr>
        <xdr:cNvPr id="161424" name="Imagem 60">
          <a:extLst>
            <a:ext uri="{FF2B5EF4-FFF2-40B4-BE49-F238E27FC236}">
              <a16:creationId xmlns:a16="http://schemas.microsoft.com/office/drawing/2014/main" id="{07CAF86D-EBDC-4F78-BA82-CCF89BD6EE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25412700"/>
          <a:ext cx="281940" cy="3657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25</xdr:col>
      <xdr:colOff>106680</xdr:colOff>
      <xdr:row>171</xdr:row>
      <xdr:rowOff>60960</xdr:rowOff>
    </xdr:from>
    <xdr:to>
      <xdr:col>26</xdr:col>
      <xdr:colOff>114300</xdr:colOff>
      <xdr:row>172</xdr:row>
      <xdr:rowOff>99060</xdr:rowOff>
    </xdr:to>
    <xdr:pic macro="[0]!LmpFoto">
      <xdr:nvPicPr>
        <xdr:cNvPr id="161425" name="Imagem 61">
          <a:extLst>
            <a:ext uri="{FF2B5EF4-FFF2-40B4-BE49-F238E27FC236}">
              <a16:creationId xmlns:a16="http://schemas.microsoft.com/office/drawing/2014/main" id="{71C7C72F-82CA-401F-BAE7-FB71E4AFDD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8020" y="27051000"/>
          <a:ext cx="167640" cy="1752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28</xdr:col>
      <xdr:colOff>15240</xdr:colOff>
      <xdr:row>159</xdr:row>
      <xdr:rowOff>68580</xdr:rowOff>
    </xdr:from>
    <xdr:to>
      <xdr:col>29</xdr:col>
      <xdr:colOff>137160</xdr:colOff>
      <xdr:row>162</xdr:row>
      <xdr:rowOff>22860</xdr:rowOff>
    </xdr:to>
    <xdr:pic macro="[0]!InsFot">
      <xdr:nvPicPr>
        <xdr:cNvPr id="161426" name="Imagem 62">
          <a:extLst>
            <a:ext uri="{FF2B5EF4-FFF2-40B4-BE49-F238E27FC236}">
              <a16:creationId xmlns:a16="http://schemas.microsoft.com/office/drawing/2014/main" id="{4C4BADF4-B91E-4798-A0CB-B2BC0F38FA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96640" y="25412700"/>
          <a:ext cx="281940" cy="3657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47</xdr:col>
      <xdr:colOff>106680</xdr:colOff>
      <xdr:row>171</xdr:row>
      <xdr:rowOff>60960</xdr:rowOff>
    </xdr:from>
    <xdr:to>
      <xdr:col>48</xdr:col>
      <xdr:colOff>114300</xdr:colOff>
      <xdr:row>172</xdr:row>
      <xdr:rowOff>99060</xdr:rowOff>
    </xdr:to>
    <xdr:pic macro="[0]!LmpFoto">
      <xdr:nvPicPr>
        <xdr:cNvPr id="161427" name="Imagem 63">
          <a:extLst>
            <a:ext uri="{FF2B5EF4-FFF2-40B4-BE49-F238E27FC236}">
              <a16:creationId xmlns:a16="http://schemas.microsoft.com/office/drawing/2014/main" id="{A14C56CD-1F29-4A4D-AB4C-95960C34D9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28460" y="27051000"/>
          <a:ext cx="167640" cy="1752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15240</xdr:colOff>
      <xdr:row>175</xdr:row>
      <xdr:rowOff>68580</xdr:rowOff>
    </xdr:from>
    <xdr:to>
      <xdr:col>7</xdr:col>
      <xdr:colOff>137160</xdr:colOff>
      <xdr:row>178</xdr:row>
      <xdr:rowOff>22860</xdr:rowOff>
    </xdr:to>
    <xdr:pic macro="[0]!InsFot">
      <xdr:nvPicPr>
        <xdr:cNvPr id="161428" name="Imagem 64">
          <a:extLst>
            <a:ext uri="{FF2B5EF4-FFF2-40B4-BE49-F238E27FC236}">
              <a16:creationId xmlns:a16="http://schemas.microsoft.com/office/drawing/2014/main" id="{BBD4C1D5-8FE0-42E5-9472-820640A032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27607260"/>
          <a:ext cx="281940" cy="3657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25</xdr:col>
      <xdr:colOff>106680</xdr:colOff>
      <xdr:row>187</xdr:row>
      <xdr:rowOff>60960</xdr:rowOff>
    </xdr:from>
    <xdr:to>
      <xdr:col>26</xdr:col>
      <xdr:colOff>114300</xdr:colOff>
      <xdr:row>188</xdr:row>
      <xdr:rowOff>99060</xdr:rowOff>
    </xdr:to>
    <xdr:pic macro="[0]!LmpFoto">
      <xdr:nvPicPr>
        <xdr:cNvPr id="161429" name="Imagem 65">
          <a:extLst>
            <a:ext uri="{FF2B5EF4-FFF2-40B4-BE49-F238E27FC236}">
              <a16:creationId xmlns:a16="http://schemas.microsoft.com/office/drawing/2014/main" id="{FDD0C816-F5D7-4DA2-98EF-4E1B2FDDD4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8020" y="29245560"/>
          <a:ext cx="167640" cy="1752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28</xdr:col>
      <xdr:colOff>15240</xdr:colOff>
      <xdr:row>175</xdr:row>
      <xdr:rowOff>68580</xdr:rowOff>
    </xdr:from>
    <xdr:to>
      <xdr:col>29</xdr:col>
      <xdr:colOff>137160</xdr:colOff>
      <xdr:row>178</xdr:row>
      <xdr:rowOff>22860</xdr:rowOff>
    </xdr:to>
    <xdr:pic macro="[0]!InsFot">
      <xdr:nvPicPr>
        <xdr:cNvPr id="161430" name="Imagem 66">
          <a:extLst>
            <a:ext uri="{FF2B5EF4-FFF2-40B4-BE49-F238E27FC236}">
              <a16:creationId xmlns:a16="http://schemas.microsoft.com/office/drawing/2014/main" id="{D06CB1CE-8AED-458E-8E0C-9CB4E6A004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96640" y="27607260"/>
          <a:ext cx="281940" cy="3657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47</xdr:col>
      <xdr:colOff>106680</xdr:colOff>
      <xdr:row>187</xdr:row>
      <xdr:rowOff>60960</xdr:rowOff>
    </xdr:from>
    <xdr:to>
      <xdr:col>48</xdr:col>
      <xdr:colOff>114300</xdr:colOff>
      <xdr:row>188</xdr:row>
      <xdr:rowOff>99060</xdr:rowOff>
    </xdr:to>
    <xdr:pic macro="[0]!LmpFoto">
      <xdr:nvPicPr>
        <xdr:cNvPr id="161431" name="Imagem 67">
          <a:extLst>
            <a:ext uri="{FF2B5EF4-FFF2-40B4-BE49-F238E27FC236}">
              <a16:creationId xmlns:a16="http://schemas.microsoft.com/office/drawing/2014/main" id="{FF806601-7312-4602-B94E-9307D06FA3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28460" y="29245560"/>
          <a:ext cx="167640" cy="1752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15240</xdr:colOff>
      <xdr:row>191</xdr:row>
      <xdr:rowOff>68580</xdr:rowOff>
    </xdr:from>
    <xdr:to>
      <xdr:col>7</xdr:col>
      <xdr:colOff>137160</xdr:colOff>
      <xdr:row>194</xdr:row>
      <xdr:rowOff>22860</xdr:rowOff>
    </xdr:to>
    <xdr:pic macro="[0]!InsFot">
      <xdr:nvPicPr>
        <xdr:cNvPr id="161432" name="Imagem 68">
          <a:extLst>
            <a:ext uri="{FF2B5EF4-FFF2-40B4-BE49-F238E27FC236}">
              <a16:creationId xmlns:a16="http://schemas.microsoft.com/office/drawing/2014/main" id="{73E50B87-EA41-4320-B8D2-67116990FD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29801820"/>
          <a:ext cx="281940" cy="3657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25</xdr:col>
      <xdr:colOff>106680</xdr:colOff>
      <xdr:row>203</xdr:row>
      <xdr:rowOff>60960</xdr:rowOff>
    </xdr:from>
    <xdr:to>
      <xdr:col>26</xdr:col>
      <xdr:colOff>114300</xdr:colOff>
      <xdr:row>204</xdr:row>
      <xdr:rowOff>99060</xdr:rowOff>
    </xdr:to>
    <xdr:pic macro="[0]!LmpFoto">
      <xdr:nvPicPr>
        <xdr:cNvPr id="161433" name="Imagem 69">
          <a:extLst>
            <a:ext uri="{FF2B5EF4-FFF2-40B4-BE49-F238E27FC236}">
              <a16:creationId xmlns:a16="http://schemas.microsoft.com/office/drawing/2014/main" id="{F73E1E52-EDA0-49C7-BE32-18D6309BF6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8020" y="31440120"/>
          <a:ext cx="167640" cy="1752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28</xdr:col>
      <xdr:colOff>15240</xdr:colOff>
      <xdr:row>191</xdr:row>
      <xdr:rowOff>68580</xdr:rowOff>
    </xdr:from>
    <xdr:to>
      <xdr:col>29</xdr:col>
      <xdr:colOff>137160</xdr:colOff>
      <xdr:row>194</xdr:row>
      <xdr:rowOff>22860</xdr:rowOff>
    </xdr:to>
    <xdr:pic macro="[0]!InsFot">
      <xdr:nvPicPr>
        <xdr:cNvPr id="161434" name="Imagem 70">
          <a:extLst>
            <a:ext uri="{FF2B5EF4-FFF2-40B4-BE49-F238E27FC236}">
              <a16:creationId xmlns:a16="http://schemas.microsoft.com/office/drawing/2014/main" id="{DBC6CE10-7E66-4A6B-8BD0-B1D6183542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96640" y="29801820"/>
          <a:ext cx="281940" cy="3657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47</xdr:col>
      <xdr:colOff>106680</xdr:colOff>
      <xdr:row>203</xdr:row>
      <xdr:rowOff>60960</xdr:rowOff>
    </xdr:from>
    <xdr:to>
      <xdr:col>48</xdr:col>
      <xdr:colOff>114300</xdr:colOff>
      <xdr:row>204</xdr:row>
      <xdr:rowOff>99060</xdr:rowOff>
    </xdr:to>
    <xdr:pic macro="[0]!LmpFoto">
      <xdr:nvPicPr>
        <xdr:cNvPr id="161435" name="Imagem 71">
          <a:extLst>
            <a:ext uri="{FF2B5EF4-FFF2-40B4-BE49-F238E27FC236}">
              <a16:creationId xmlns:a16="http://schemas.microsoft.com/office/drawing/2014/main" id="{45A4A1B8-9C28-45E5-BDB6-8CABD6E95A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28460" y="31440120"/>
          <a:ext cx="167640" cy="1752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15240</xdr:colOff>
      <xdr:row>110</xdr:row>
      <xdr:rowOff>68580</xdr:rowOff>
    </xdr:from>
    <xdr:to>
      <xdr:col>7</xdr:col>
      <xdr:colOff>137160</xdr:colOff>
      <xdr:row>113</xdr:row>
      <xdr:rowOff>22860</xdr:rowOff>
    </xdr:to>
    <xdr:pic macro="[0]!InsFot">
      <xdr:nvPicPr>
        <xdr:cNvPr id="161436" name="Imagem 74">
          <a:extLst>
            <a:ext uri="{FF2B5EF4-FFF2-40B4-BE49-F238E27FC236}">
              <a16:creationId xmlns:a16="http://schemas.microsoft.com/office/drawing/2014/main" id="{A9ED7ADA-BA80-4246-B352-021C87A16E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18783300"/>
          <a:ext cx="281940" cy="3657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25</xdr:col>
      <xdr:colOff>106680</xdr:colOff>
      <xdr:row>122</xdr:row>
      <xdr:rowOff>60960</xdr:rowOff>
    </xdr:from>
    <xdr:to>
      <xdr:col>26</xdr:col>
      <xdr:colOff>114300</xdr:colOff>
      <xdr:row>123</xdr:row>
      <xdr:rowOff>99060</xdr:rowOff>
    </xdr:to>
    <xdr:pic macro="[0]!LmpFoto">
      <xdr:nvPicPr>
        <xdr:cNvPr id="161437" name="Imagem 75">
          <a:extLst>
            <a:ext uri="{FF2B5EF4-FFF2-40B4-BE49-F238E27FC236}">
              <a16:creationId xmlns:a16="http://schemas.microsoft.com/office/drawing/2014/main" id="{94750B47-A535-453C-8EFF-43E6CCB435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8020" y="20421600"/>
          <a:ext cx="167640" cy="1752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160020</xdr:colOff>
      <xdr:row>31</xdr:row>
      <xdr:rowOff>114300</xdr:rowOff>
    </xdr:from>
    <xdr:to>
      <xdr:col>16</xdr:col>
      <xdr:colOff>15240</xdr:colOff>
      <xdr:row>34</xdr:row>
      <xdr:rowOff>137160</xdr:rowOff>
    </xdr:to>
    <xdr:pic macro="[0]!VeriAWP">
      <xdr:nvPicPr>
        <xdr:cNvPr id="157165" name="lcaixa" descr="Logo_CAIXA.gif">
          <a:extLst>
            <a:ext uri="{FF2B5EF4-FFF2-40B4-BE49-F238E27FC236}">
              <a16:creationId xmlns:a16="http://schemas.microsoft.com/office/drawing/2014/main" id="{69EA9268-2459-4461-A156-4B14C65490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" y="4282440"/>
          <a:ext cx="1295400" cy="312420"/>
        </a:xfrm>
        <a:prstGeom prst="rect">
          <a:avLst/>
        </a:prstGeom>
        <a:noFill/>
        <a:ln w="50800">
          <a:solidFill>
            <a:srgbClr val="FFFFFF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22860</xdr:colOff>
      <xdr:row>12</xdr:row>
      <xdr:rowOff>38100</xdr:rowOff>
    </xdr:from>
    <xdr:to>
      <xdr:col>6</xdr:col>
      <xdr:colOff>106680</xdr:colOff>
      <xdr:row>12</xdr:row>
      <xdr:rowOff>114300</xdr:rowOff>
    </xdr:to>
    <xdr:sp macro="" textlink="">
      <xdr:nvSpPr>
        <xdr:cNvPr id="157166" name="Quad1">
          <a:extLst>
            <a:ext uri="{FF2B5EF4-FFF2-40B4-BE49-F238E27FC236}">
              <a16:creationId xmlns:a16="http://schemas.microsoft.com/office/drawing/2014/main" id="{91510065-3000-4963-B4F8-61052305A0EE}"/>
            </a:ext>
          </a:extLst>
        </xdr:cNvPr>
        <xdr:cNvSpPr>
          <a:spLocks noChangeArrowheads="1"/>
        </xdr:cNvSpPr>
      </xdr:nvSpPr>
      <xdr:spPr bwMode="auto">
        <a:xfrm>
          <a:off x="83820" y="1531620"/>
          <a:ext cx="83820" cy="0"/>
        </a:xfrm>
        <a:prstGeom prst="rect">
          <a:avLst/>
        </a:prstGeom>
        <a:noFill/>
        <a:ln w="127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</a:extLst>
      </xdr:spPr>
    </xdr:sp>
    <xdr:clientData/>
  </xdr:twoCellAnchor>
  <xdr:twoCellAnchor>
    <xdr:from>
      <xdr:col>10</xdr:col>
      <xdr:colOff>22860</xdr:colOff>
      <xdr:row>12</xdr:row>
      <xdr:rowOff>38100</xdr:rowOff>
    </xdr:from>
    <xdr:to>
      <xdr:col>10</xdr:col>
      <xdr:colOff>106680</xdr:colOff>
      <xdr:row>12</xdr:row>
      <xdr:rowOff>114300</xdr:rowOff>
    </xdr:to>
    <xdr:sp macro="" textlink="">
      <xdr:nvSpPr>
        <xdr:cNvPr id="157167" name="Quad2">
          <a:extLst>
            <a:ext uri="{FF2B5EF4-FFF2-40B4-BE49-F238E27FC236}">
              <a16:creationId xmlns:a16="http://schemas.microsoft.com/office/drawing/2014/main" id="{C170AFAC-639C-478A-A729-A7B4F5EB2F64}"/>
            </a:ext>
          </a:extLst>
        </xdr:cNvPr>
        <xdr:cNvSpPr>
          <a:spLocks noChangeArrowheads="1"/>
        </xdr:cNvSpPr>
      </xdr:nvSpPr>
      <xdr:spPr bwMode="auto">
        <a:xfrm>
          <a:off x="723900" y="1531620"/>
          <a:ext cx="8382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3333" mc:Ignorable="a14" a14:legacySpreadsheetColorIndex="63"/>
        </a:soli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miter lim="800000"/>
          <a:headEnd/>
          <a:tailEnd/>
        </a:ln>
      </xdr:spPr>
    </xdr:sp>
    <xdr:clientData/>
  </xdr:twoCellAnchor>
  <xdr:twoCellAnchor editAs="oneCell">
    <xdr:from>
      <xdr:col>8</xdr:col>
      <xdr:colOff>38100</xdr:colOff>
      <xdr:row>2</xdr:row>
      <xdr:rowOff>68580</xdr:rowOff>
    </xdr:from>
    <xdr:to>
      <xdr:col>16</xdr:col>
      <xdr:colOff>53340</xdr:colOff>
      <xdr:row>3</xdr:row>
      <xdr:rowOff>137160</xdr:rowOff>
    </xdr:to>
    <xdr:pic>
      <xdr:nvPicPr>
        <xdr:cNvPr id="157168" name="lcaixa" descr="Logo_CAIXA.gif">
          <a:extLst>
            <a:ext uri="{FF2B5EF4-FFF2-40B4-BE49-F238E27FC236}">
              <a16:creationId xmlns:a16="http://schemas.microsoft.com/office/drawing/2014/main" id="{1C435CD6-3049-4C0F-8A88-CC790FDF37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" y="243840"/>
          <a:ext cx="1295400" cy="274320"/>
        </a:xfrm>
        <a:prstGeom prst="rect">
          <a:avLst/>
        </a:prstGeom>
        <a:noFill/>
        <a:ln w="50800">
          <a:solidFill>
            <a:srgbClr val="FFFFFF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53340</xdr:colOff>
      <xdr:row>106</xdr:row>
      <xdr:rowOff>38100</xdr:rowOff>
    </xdr:from>
    <xdr:to>
      <xdr:col>7</xdr:col>
      <xdr:colOff>129540</xdr:colOff>
      <xdr:row>108</xdr:row>
      <xdr:rowOff>104775</xdr:rowOff>
    </xdr:to>
    <xdr:sp macro="[0]!InsFot" textlink="">
      <xdr:nvSpPr>
        <xdr:cNvPr id="151872" name="Inst01">
          <a:extLst>
            <a:ext uri="{FF2B5EF4-FFF2-40B4-BE49-F238E27FC236}">
              <a16:creationId xmlns:a16="http://schemas.microsoft.com/office/drawing/2014/main" id="{BB23EF67-F553-41EF-9BEE-77754050982E}"/>
            </a:ext>
          </a:extLst>
        </xdr:cNvPr>
        <xdr:cNvSpPr>
          <a:spLocks noChangeArrowheads="1"/>
        </xdr:cNvSpPr>
      </xdr:nvSpPr>
      <xdr:spPr bwMode="auto">
        <a:xfrm>
          <a:off x="104775" y="12954000"/>
          <a:ext cx="228600" cy="333375"/>
        </a:xfrm>
        <a:prstGeom prst="downArrow">
          <a:avLst>
            <a:gd name="adj1" fmla="val 33333"/>
            <a:gd name="adj2" fmla="val 62499"/>
          </a:avLst>
        </a:prstGeom>
        <a:ln>
          <a:headEnd/>
          <a:tailEnd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pt-BR"/>
        </a:p>
      </xdr:txBody>
    </xdr:sp>
    <xdr:clientData fPrintsWithSheet="0"/>
  </xdr:twoCellAnchor>
  <xdr:twoCellAnchor>
    <xdr:from>
      <xdr:col>25</xdr:col>
      <xdr:colOff>129540</xdr:colOff>
      <xdr:row>120</xdr:row>
      <xdr:rowOff>85725</xdr:rowOff>
    </xdr:from>
    <xdr:to>
      <xdr:col>26</xdr:col>
      <xdr:colOff>120015</xdr:colOff>
      <xdr:row>121</xdr:row>
      <xdr:rowOff>95250</xdr:rowOff>
    </xdr:to>
    <xdr:sp macro="[0]!LmpFoto" textlink="">
      <xdr:nvSpPr>
        <xdr:cNvPr id="151873" name="Dele01">
          <a:extLst>
            <a:ext uri="{FF2B5EF4-FFF2-40B4-BE49-F238E27FC236}">
              <a16:creationId xmlns:a16="http://schemas.microsoft.com/office/drawing/2014/main" id="{04F845CA-0900-4DF1-A2E4-091D0BFC2396}"/>
            </a:ext>
          </a:extLst>
        </xdr:cNvPr>
        <xdr:cNvSpPr>
          <a:spLocks noChangeArrowheads="1"/>
        </xdr:cNvSpPr>
      </xdr:nvSpPr>
      <xdr:spPr bwMode="auto">
        <a:xfrm>
          <a:off x="3076575" y="14868525"/>
          <a:ext cx="142875" cy="142875"/>
        </a:xfrm>
        <a:prstGeom prst="flowChartSummingJunction">
          <a:avLst/>
        </a:prstGeom>
        <a:ln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/>
        <a:lstStyle/>
        <a:p>
          <a:endParaRPr lang="pt-BR"/>
        </a:p>
      </xdr:txBody>
    </xdr:sp>
    <xdr:clientData fPrintsWithSheet="0"/>
  </xdr:twoCellAnchor>
  <xdr:twoCellAnchor>
    <xdr:from>
      <xdr:col>28</xdr:col>
      <xdr:colOff>53340</xdr:colOff>
      <xdr:row>106</xdr:row>
      <xdr:rowOff>38100</xdr:rowOff>
    </xdr:from>
    <xdr:to>
      <xdr:col>29</xdr:col>
      <xdr:colOff>129540</xdr:colOff>
      <xdr:row>108</xdr:row>
      <xdr:rowOff>104775</xdr:rowOff>
    </xdr:to>
    <xdr:sp macro="[0]!InsFot" textlink="">
      <xdr:nvSpPr>
        <xdr:cNvPr id="151874" name="Inst02">
          <a:extLst>
            <a:ext uri="{FF2B5EF4-FFF2-40B4-BE49-F238E27FC236}">
              <a16:creationId xmlns:a16="http://schemas.microsoft.com/office/drawing/2014/main" id="{91338BCC-B742-40D4-BFFC-A2E9121E8D40}"/>
            </a:ext>
          </a:extLst>
        </xdr:cNvPr>
        <xdr:cNvSpPr>
          <a:spLocks noChangeArrowheads="1"/>
        </xdr:cNvSpPr>
      </xdr:nvSpPr>
      <xdr:spPr bwMode="auto">
        <a:xfrm>
          <a:off x="3457575" y="12954000"/>
          <a:ext cx="228600" cy="333375"/>
        </a:xfrm>
        <a:prstGeom prst="downArrow">
          <a:avLst>
            <a:gd name="adj1" fmla="val 33333"/>
            <a:gd name="adj2" fmla="val 62499"/>
          </a:avLst>
        </a:prstGeom>
        <a:ln>
          <a:headEnd/>
          <a:tailEnd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pt-BR"/>
        </a:p>
      </xdr:txBody>
    </xdr:sp>
    <xdr:clientData fPrintsWithSheet="0"/>
  </xdr:twoCellAnchor>
  <xdr:twoCellAnchor>
    <xdr:from>
      <xdr:col>47</xdr:col>
      <xdr:colOff>129540</xdr:colOff>
      <xdr:row>120</xdr:row>
      <xdr:rowOff>85725</xdr:rowOff>
    </xdr:from>
    <xdr:to>
      <xdr:col>48</xdr:col>
      <xdr:colOff>120015</xdr:colOff>
      <xdr:row>121</xdr:row>
      <xdr:rowOff>95250</xdr:rowOff>
    </xdr:to>
    <xdr:sp macro="[0]!LmpFoto" textlink="">
      <xdr:nvSpPr>
        <xdr:cNvPr id="151875" name="Dele02">
          <a:extLst>
            <a:ext uri="{FF2B5EF4-FFF2-40B4-BE49-F238E27FC236}">
              <a16:creationId xmlns:a16="http://schemas.microsoft.com/office/drawing/2014/main" id="{F2AA52C4-1D98-4A18-AECD-933E888F6C8D}"/>
            </a:ext>
          </a:extLst>
        </xdr:cNvPr>
        <xdr:cNvSpPr>
          <a:spLocks noChangeArrowheads="1"/>
        </xdr:cNvSpPr>
      </xdr:nvSpPr>
      <xdr:spPr bwMode="auto">
        <a:xfrm>
          <a:off x="6429375" y="14868525"/>
          <a:ext cx="142875" cy="142875"/>
        </a:xfrm>
        <a:prstGeom prst="flowChartSummingJunction">
          <a:avLst/>
        </a:prstGeom>
        <a:ln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/>
        <a:lstStyle/>
        <a:p>
          <a:endParaRPr lang="pt-BR"/>
        </a:p>
      </xdr:txBody>
    </xdr:sp>
    <xdr:clientData fPrintsWithSheet="0"/>
  </xdr:twoCellAnchor>
  <xdr:twoCellAnchor>
    <xdr:from>
      <xdr:col>6</xdr:col>
      <xdr:colOff>53340</xdr:colOff>
      <xdr:row>125</xdr:row>
      <xdr:rowOff>38100</xdr:rowOff>
    </xdr:from>
    <xdr:to>
      <xdr:col>7</xdr:col>
      <xdr:colOff>129540</xdr:colOff>
      <xdr:row>127</xdr:row>
      <xdr:rowOff>104775</xdr:rowOff>
    </xdr:to>
    <xdr:sp macro="[0]!InsFot" textlink="">
      <xdr:nvSpPr>
        <xdr:cNvPr id="151876" name="Inst03">
          <a:extLst>
            <a:ext uri="{FF2B5EF4-FFF2-40B4-BE49-F238E27FC236}">
              <a16:creationId xmlns:a16="http://schemas.microsoft.com/office/drawing/2014/main" id="{B020B63D-A473-4340-A084-E3D5BA6BEC98}"/>
            </a:ext>
          </a:extLst>
        </xdr:cNvPr>
        <xdr:cNvSpPr>
          <a:spLocks noChangeArrowheads="1"/>
        </xdr:cNvSpPr>
      </xdr:nvSpPr>
      <xdr:spPr bwMode="auto">
        <a:xfrm>
          <a:off x="104775" y="15087600"/>
          <a:ext cx="228600" cy="333375"/>
        </a:xfrm>
        <a:prstGeom prst="downArrow">
          <a:avLst>
            <a:gd name="adj1" fmla="val 33333"/>
            <a:gd name="adj2" fmla="val 62499"/>
          </a:avLst>
        </a:prstGeom>
        <a:ln>
          <a:headEnd/>
          <a:tailEnd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pt-BR"/>
        </a:p>
      </xdr:txBody>
    </xdr:sp>
    <xdr:clientData fPrintsWithSheet="0"/>
  </xdr:twoCellAnchor>
  <xdr:twoCellAnchor>
    <xdr:from>
      <xdr:col>25</xdr:col>
      <xdr:colOff>129540</xdr:colOff>
      <xdr:row>139</xdr:row>
      <xdr:rowOff>85725</xdr:rowOff>
    </xdr:from>
    <xdr:to>
      <xdr:col>26</xdr:col>
      <xdr:colOff>120015</xdr:colOff>
      <xdr:row>140</xdr:row>
      <xdr:rowOff>95250</xdr:rowOff>
    </xdr:to>
    <xdr:sp macro="[0]!LmpFoto" textlink="">
      <xdr:nvSpPr>
        <xdr:cNvPr id="151877" name="Dele03">
          <a:extLst>
            <a:ext uri="{FF2B5EF4-FFF2-40B4-BE49-F238E27FC236}">
              <a16:creationId xmlns:a16="http://schemas.microsoft.com/office/drawing/2014/main" id="{91D24B70-4970-4E32-92F6-4407FA50920C}"/>
            </a:ext>
          </a:extLst>
        </xdr:cNvPr>
        <xdr:cNvSpPr>
          <a:spLocks noChangeArrowheads="1"/>
        </xdr:cNvSpPr>
      </xdr:nvSpPr>
      <xdr:spPr bwMode="auto">
        <a:xfrm>
          <a:off x="3076575" y="17002125"/>
          <a:ext cx="142875" cy="142875"/>
        </a:xfrm>
        <a:prstGeom prst="flowChartSummingJunction">
          <a:avLst/>
        </a:prstGeom>
        <a:ln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/>
        <a:lstStyle/>
        <a:p>
          <a:endParaRPr lang="pt-BR"/>
        </a:p>
      </xdr:txBody>
    </xdr:sp>
    <xdr:clientData fPrintsWithSheet="0"/>
  </xdr:twoCellAnchor>
  <xdr:twoCellAnchor>
    <xdr:from>
      <xdr:col>28</xdr:col>
      <xdr:colOff>53340</xdr:colOff>
      <xdr:row>125</xdr:row>
      <xdr:rowOff>38100</xdr:rowOff>
    </xdr:from>
    <xdr:to>
      <xdr:col>29</xdr:col>
      <xdr:colOff>129540</xdr:colOff>
      <xdr:row>127</xdr:row>
      <xdr:rowOff>104775</xdr:rowOff>
    </xdr:to>
    <xdr:sp macro="[0]!InsFot" textlink="">
      <xdr:nvSpPr>
        <xdr:cNvPr id="151878" name="Inst04">
          <a:extLst>
            <a:ext uri="{FF2B5EF4-FFF2-40B4-BE49-F238E27FC236}">
              <a16:creationId xmlns:a16="http://schemas.microsoft.com/office/drawing/2014/main" id="{29B10A40-CAF0-421F-959A-1F74E9AB7C70}"/>
            </a:ext>
          </a:extLst>
        </xdr:cNvPr>
        <xdr:cNvSpPr>
          <a:spLocks noChangeArrowheads="1"/>
        </xdr:cNvSpPr>
      </xdr:nvSpPr>
      <xdr:spPr bwMode="auto">
        <a:xfrm>
          <a:off x="3457575" y="15087600"/>
          <a:ext cx="228600" cy="333375"/>
        </a:xfrm>
        <a:prstGeom prst="downArrow">
          <a:avLst>
            <a:gd name="adj1" fmla="val 33333"/>
            <a:gd name="adj2" fmla="val 62499"/>
          </a:avLst>
        </a:prstGeom>
        <a:ln>
          <a:headEnd/>
          <a:tailEnd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pt-BR"/>
        </a:p>
      </xdr:txBody>
    </xdr:sp>
    <xdr:clientData fPrintsWithSheet="0"/>
  </xdr:twoCellAnchor>
  <xdr:twoCellAnchor>
    <xdr:from>
      <xdr:col>47</xdr:col>
      <xdr:colOff>129540</xdr:colOff>
      <xdr:row>139</xdr:row>
      <xdr:rowOff>85725</xdr:rowOff>
    </xdr:from>
    <xdr:to>
      <xdr:col>48</xdr:col>
      <xdr:colOff>120015</xdr:colOff>
      <xdr:row>140</xdr:row>
      <xdr:rowOff>95250</xdr:rowOff>
    </xdr:to>
    <xdr:sp macro="[0]!LmpFoto" textlink="">
      <xdr:nvSpPr>
        <xdr:cNvPr id="151879" name="Dele04">
          <a:extLst>
            <a:ext uri="{FF2B5EF4-FFF2-40B4-BE49-F238E27FC236}">
              <a16:creationId xmlns:a16="http://schemas.microsoft.com/office/drawing/2014/main" id="{5A0B04F1-9134-45A0-BD17-B5C42C4B6103}"/>
            </a:ext>
          </a:extLst>
        </xdr:cNvPr>
        <xdr:cNvSpPr>
          <a:spLocks noChangeArrowheads="1"/>
        </xdr:cNvSpPr>
      </xdr:nvSpPr>
      <xdr:spPr bwMode="auto">
        <a:xfrm>
          <a:off x="6429375" y="17002125"/>
          <a:ext cx="142875" cy="142875"/>
        </a:xfrm>
        <a:prstGeom prst="flowChartSummingJunction">
          <a:avLst/>
        </a:prstGeom>
        <a:ln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/>
        <a:lstStyle/>
        <a:p>
          <a:endParaRPr lang="pt-BR"/>
        </a:p>
      </xdr:txBody>
    </xdr:sp>
    <xdr:clientData fPrintsWithSheet="0"/>
  </xdr:twoCellAnchor>
  <xdr:twoCellAnchor>
    <xdr:from>
      <xdr:col>6</xdr:col>
      <xdr:colOff>53340</xdr:colOff>
      <xdr:row>142</xdr:row>
      <xdr:rowOff>38100</xdr:rowOff>
    </xdr:from>
    <xdr:to>
      <xdr:col>7</xdr:col>
      <xdr:colOff>129540</xdr:colOff>
      <xdr:row>144</xdr:row>
      <xdr:rowOff>104775</xdr:rowOff>
    </xdr:to>
    <xdr:sp macro="[0]!InsFot" textlink="">
      <xdr:nvSpPr>
        <xdr:cNvPr id="151880" name="Inst05">
          <a:extLst>
            <a:ext uri="{FF2B5EF4-FFF2-40B4-BE49-F238E27FC236}">
              <a16:creationId xmlns:a16="http://schemas.microsoft.com/office/drawing/2014/main" id="{B98261E9-D061-4464-BC8D-DCE28C302F82}"/>
            </a:ext>
          </a:extLst>
        </xdr:cNvPr>
        <xdr:cNvSpPr>
          <a:spLocks noChangeArrowheads="1"/>
        </xdr:cNvSpPr>
      </xdr:nvSpPr>
      <xdr:spPr bwMode="auto">
        <a:xfrm>
          <a:off x="104775" y="17221200"/>
          <a:ext cx="228600" cy="333375"/>
        </a:xfrm>
        <a:prstGeom prst="downArrow">
          <a:avLst>
            <a:gd name="adj1" fmla="val 33333"/>
            <a:gd name="adj2" fmla="val 62499"/>
          </a:avLst>
        </a:prstGeom>
        <a:ln>
          <a:headEnd/>
          <a:tailEnd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pt-BR"/>
        </a:p>
      </xdr:txBody>
    </xdr:sp>
    <xdr:clientData fPrintsWithSheet="0"/>
  </xdr:twoCellAnchor>
  <xdr:twoCellAnchor>
    <xdr:from>
      <xdr:col>25</xdr:col>
      <xdr:colOff>129540</xdr:colOff>
      <xdr:row>156</xdr:row>
      <xdr:rowOff>85725</xdr:rowOff>
    </xdr:from>
    <xdr:to>
      <xdr:col>26</xdr:col>
      <xdr:colOff>120015</xdr:colOff>
      <xdr:row>157</xdr:row>
      <xdr:rowOff>95250</xdr:rowOff>
    </xdr:to>
    <xdr:sp macro="[0]!LmpFoto" textlink="">
      <xdr:nvSpPr>
        <xdr:cNvPr id="151881" name="Dele05">
          <a:extLst>
            <a:ext uri="{FF2B5EF4-FFF2-40B4-BE49-F238E27FC236}">
              <a16:creationId xmlns:a16="http://schemas.microsoft.com/office/drawing/2014/main" id="{7D46370E-D389-46A2-B3AF-5174559C0004}"/>
            </a:ext>
          </a:extLst>
        </xdr:cNvPr>
        <xdr:cNvSpPr>
          <a:spLocks noChangeArrowheads="1"/>
        </xdr:cNvSpPr>
      </xdr:nvSpPr>
      <xdr:spPr bwMode="auto">
        <a:xfrm>
          <a:off x="3076575" y="19135725"/>
          <a:ext cx="142875" cy="142875"/>
        </a:xfrm>
        <a:prstGeom prst="flowChartSummingJunction">
          <a:avLst/>
        </a:prstGeom>
        <a:ln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/>
        <a:lstStyle/>
        <a:p>
          <a:endParaRPr lang="pt-BR"/>
        </a:p>
      </xdr:txBody>
    </xdr:sp>
    <xdr:clientData fPrintsWithSheet="0"/>
  </xdr:twoCellAnchor>
  <xdr:twoCellAnchor>
    <xdr:from>
      <xdr:col>28</xdr:col>
      <xdr:colOff>53340</xdr:colOff>
      <xdr:row>142</xdr:row>
      <xdr:rowOff>38100</xdr:rowOff>
    </xdr:from>
    <xdr:to>
      <xdr:col>29</xdr:col>
      <xdr:colOff>129540</xdr:colOff>
      <xdr:row>144</xdr:row>
      <xdr:rowOff>104775</xdr:rowOff>
    </xdr:to>
    <xdr:sp macro="[0]!InsFot" textlink="">
      <xdr:nvSpPr>
        <xdr:cNvPr id="151882" name="Inst06">
          <a:extLst>
            <a:ext uri="{FF2B5EF4-FFF2-40B4-BE49-F238E27FC236}">
              <a16:creationId xmlns:a16="http://schemas.microsoft.com/office/drawing/2014/main" id="{1E741F55-F60C-4E51-AC74-A433A0A080E7}"/>
            </a:ext>
          </a:extLst>
        </xdr:cNvPr>
        <xdr:cNvSpPr>
          <a:spLocks noChangeArrowheads="1"/>
        </xdr:cNvSpPr>
      </xdr:nvSpPr>
      <xdr:spPr bwMode="auto">
        <a:xfrm>
          <a:off x="3457575" y="17221200"/>
          <a:ext cx="228600" cy="333375"/>
        </a:xfrm>
        <a:prstGeom prst="downArrow">
          <a:avLst>
            <a:gd name="adj1" fmla="val 33333"/>
            <a:gd name="adj2" fmla="val 62499"/>
          </a:avLst>
        </a:prstGeom>
        <a:ln>
          <a:headEnd/>
          <a:tailEnd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pt-BR"/>
        </a:p>
      </xdr:txBody>
    </xdr:sp>
    <xdr:clientData fPrintsWithSheet="0"/>
  </xdr:twoCellAnchor>
  <xdr:twoCellAnchor>
    <xdr:from>
      <xdr:col>47</xdr:col>
      <xdr:colOff>129540</xdr:colOff>
      <xdr:row>156</xdr:row>
      <xdr:rowOff>85725</xdr:rowOff>
    </xdr:from>
    <xdr:to>
      <xdr:col>48</xdr:col>
      <xdr:colOff>120015</xdr:colOff>
      <xdr:row>157</xdr:row>
      <xdr:rowOff>95250</xdr:rowOff>
    </xdr:to>
    <xdr:sp macro="[0]!LmpFoto" textlink="">
      <xdr:nvSpPr>
        <xdr:cNvPr id="151883" name="Dele06">
          <a:extLst>
            <a:ext uri="{FF2B5EF4-FFF2-40B4-BE49-F238E27FC236}">
              <a16:creationId xmlns:a16="http://schemas.microsoft.com/office/drawing/2014/main" id="{47BBAB62-E081-48FB-981A-B6034E1E4C1A}"/>
            </a:ext>
          </a:extLst>
        </xdr:cNvPr>
        <xdr:cNvSpPr>
          <a:spLocks noChangeArrowheads="1"/>
        </xdr:cNvSpPr>
      </xdr:nvSpPr>
      <xdr:spPr bwMode="auto">
        <a:xfrm>
          <a:off x="6429375" y="19135725"/>
          <a:ext cx="142875" cy="142875"/>
        </a:xfrm>
        <a:prstGeom prst="flowChartSummingJunction">
          <a:avLst/>
        </a:prstGeom>
        <a:ln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/>
        <a:lstStyle/>
        <a:p>
          <a:endParaRPr lang="pt-BR"/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160020</xdr:colOff>
      <xdr:row>31</xdr:row>
      <xdr:rowOff>114300</xdr:rowOff>
    </xdr:from>
    <xdr:to>
      <xdr:col>16</xdr:col>
      <xdr:colOff>15240</xdr:colOff>
      <xdr:row>34</xdr:row>
      <xdr:rowOff>137160</xdr:rowOff>
    </xdr:to>
    <xdr:pic macro="[0]!VeriAWP">
      <xdr:nvPicPr>
        <xdr:cNvPr id="153889" name="lcaixa" descr="Logo_CAIXA.gif">
          <a:extLst>
            <a:ext uri="{FF2B5EF4-FFF2-40B4-BE49-F238E27FC236}">
              <a16:creationId xmlns:a16="http://schemas.microsoft.com/office/drawing/2014/main" id="{9F62BAE8-4851-4183-A31A-CF07379841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" y="4328160"/>
          <a:ext cx="1295400" cy="312420"/>
        </a:xfrm>
        <a:prstGeom prst="rect">
          <a:avLst/>
        </a:prstGeom>
        <a:noFill/>
        <a:ln w="50800">
          <a:solidFill>
            <a:srgbClr val="FFFFFF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38100</xdr:colOff>
      <xdr:row>2</xdr:row>
      <xdr:rowOff>68580</xdr:rowOff>
    </xdr:from>
    <xdr:to>
      <xdr:col>16</xdr:col>
      <xdr:colOff>53340</xdr:colOff>
      <xdr:row>3</xdr:row>
      <xdr:rowOff>137160</xdr:rowOff>
    </xdr:to>
    <xdr:pic>
      <xdr:nvPicPr>
        <xdr:cNvPr id="153890" name="lcaixa" descr="Logo_CAIXA.gif">
          <a:extLst>
            <a:ext uri="{FF2B5EF4-FFF2-40B4-BE49-F238E27FC236}">
              <a16:creationId xmlns:a16="http://schemas.microsoft.com/office/drawing/2014/main" id="{2C99C24A-FE70-43C9-B695-507A7ECEB0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" y="243840"/>
          <a:ext cx="1295400" cy="274320"/>
        </a:xfrm>
        <a:prstGeom prst="rect">
          <a:avLst/>
        </a:prstGeom>
        <a:noFill/>
        <a:ln w="50800">
          <a:solidFill>
            <a:srgbClr val="FFFFFF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>
    <pageSetUpPr fitToPage="1"/>
  </sheetPr>
  <dimension ref="A1:GZ220"/>
  <sheetViews>
    <sheetView showGridLines="0" view="pageBreakPreview" topLeftCell="F102" zoomScaleNormal="100" zoomScaleSheetLayoutView="100" workbookViewId="0">
      <selection activeCell="G165" sqref="G165:AI168"/>
    </sheetView>
  </sheetViews>
  <sheetFormatPr defaultColWidth="3.6640625" defaultRowHeight="13.2" x14ac:dyDescent="0.25"/>
  <cols>
    <col min="1" max="4" width="6.6640625" style="8" hidden="1" customWidth="1"/>
    <col min="5" max="5" width="6.6640625" style="9" hidden="1" customWidth="1"/>
    <col min="6" max="6" width="0.88671875" style="12" customWidth="1"/>
    <col min="7" max="49" width="2.33203125" style="12" customWidth="1"/>
    <col min="50" max="50" width="0.88671875" style="12" customWidth="1"/>
    <col min="51" max="51" width="4.6640625" style="12" customWidth="1"/>
    <col min="52" max="52" width="4.6640625" style="11" customWidth="1"/>
    <col min="53" max="65" width="4.6640625" style="11" hidden="1" customWidth="1"/>
    <col min="66" max="66" width="18.88671875" style="11" hidden="1" customWidth="1"/>
    <col min="67" max="69" width="4.6640625" style="11" hidden="1" customWidth="1"/>
    <col min="70" max="79" width="4.6640625" style="11" customWidth="1"/>
    <col min="80" max="103" width="3.6640625" style="11"/>
    <col min="104" max="104" width="30.6640625" style="11" customWidth="1"/>
    <col min="105" max="117" width="3.6640625" style="11"/>
    <col min="118" max="16384" width="3.6640625" style="12"/>
  </cols>
  <sheetData>
    <row r="1" spans="1:190" ht="5.0999999999999996" hidden="1" customHeight="1" x14ac:dyDescent="0.25">
      <c r="F1" s="10" t="s">
        <v>25</v>
      </c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0" t="s">
        <v>38</v>
      </c>
      <c r="BA1" s="83" t="str">
        <f>Lista!A1</f>
        <v>Teto</v>
      </c>
      <c r="BB1" s="83" t="str">
        <f>Lista!B1</f>
        <v>Cobertura</v>
      </c>
      <c r="BC1" s="83" t="str">
        <f>Lista!C1</f>
        <v>Acabamento Externo/Interno</v>
      </c>
      <c r="BD1" s="83" t="str">
        <f>Lista!D1</f>
        <v>Esquadrias Externas/Internas</v>
      </c>
      <c r="BE1" s="83" t="str">
        <f>Lista!F1</f>
        <v>Revestimento Piso Áreas Molhadas</v>
      </c>
      <c r="BF1" s="83" t="str">
        <f>Lista!E1</f>
        <v>Revestimento Parede Áreas Molhadas</v>
      </c>
      <c r="BG1" s="83" t="str">
        <f>Lista!G1</f>
        <v>Revestimento Piso Áreas Secas</v>
      </c>
      <c r="BH1" s="83" t="str">
        <f>Lista!H1</f>
        <v xml:space="preserve">Paredes/Painéis </v>
      </c>
      <c r="BI1" s="83" t="str">
        <f>Lista!I1</f>
        <v>Louças e Metais</v>
      </c>
      <c r="BJ1" s="83" t="str">
        <f>Lista!J1</f>
        <v>Abastecimento d'Água</v>
      </c>
      <c r="BK1" s="83" t="str">
        <f>Lista!K1</f>
        <v>Coleta/Tratamento de Esgoto</v>
      </c>
      <c r="BL1" s="83" t="str">
        <f>Lista!L1</f>
        <v>Drenagem</v>
      </c>
      <c r="BM1" s="83" t="str">
        <f>Lista!M1</f>
        <v>Geração Alternativa de Energia</v>
      </c>
    </row>
    <row r="2" spans="1:190" s="16" customFormat="1" ht="13.8" x14ac:dyDescent="0.25">
      <c r="A2" s="13" t="s">
        <v>3</v>
      </c>
      <c r="B2" s="14" t="s">
        <v>4</v>
      </c>
      <c r="C2" s="13" t="s">
        <v>5</v>
      </c>
      <c r="D2" s="13" t="s">
        <v>6</v>
      </c>
      <c r="E2" s="13" t="s">
        <v>7</v>
      </c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2"/>
      <c r="AI2" s="3"/>
      <c r="BA2" s="96" t="str">
        <f>Lista!A2</f>
        <v>Telha aparente</v>
      </c>
      <c r="BB2" s="96" t="str">
        <f>Lista!B2</f>
        <v>Telha Metálica c/ Platibanda</v>
      </c>
      <c r="BC2" s="96" t="str">
        <f>Lista!C2</f>
        <v>Sem revestimento</v>
      </c>
      <c r="BD2" s="96" t="str">
        <f>Lista!D2</f>
        <v>Alumínio</v>
      </c>
      <c r="BE2" s="96" t="str">
        <f>Lista!E2</f>
        <v>Cimentado</v>
      </c>
      <c r="BF2" s="96" t="str">
        <f>Lista!F2</f>
        <v>Cimentado</v>
      </c>
      <c r="BG2" s="96" t="str">
        <f>Lista!G2</f>
        <v>Cimentado</v>
      </c>
      <c r="BH2" s="96" t="str">
        <f>Lista!H2</f>
        <v>Alvenaria</v>
      </c>
      <c r="BI2" s="96" t="str">
        <f>Lista!I2</f>
        <v>Linha Popular</v>
      </c>
      <c r="BJ2" s="96" t="str">
        <f>Lista!J2</f>
        <v>Concessionária</v>
      </c>
      <c r="BK2" s="96" t="str">
        <f>Lista!K2</f>
        <v>Rede de Esgoto</v>
      </c>
      <c r="BL2" s="96" t="str">
        <f>Lista!L2</f>
        <v>Rede de Água Pluvial</v>
      </c>
      <c r="BM2" s="96" t="str">
        <f>Lista!M2</f>
        <v>Nenhuma</v>
      </c>
      <c r="BN2" s="96" t="str">
        <f>Lista!N2</f>
        <v>Não</v>
      </c>
      <c r="BO2" s="96" t="str">
        <f>Lista!O2</f>
        <v>Cozinha</v>
      </c>
      <c r="BP2" s="96" t="str">
        <f>Lista!P2</f>
        <v>Isolada</v>
      </c>
      <c r="BQ2" s="96" t="str">
        <f>Lista!Q2</f>
        <v>Não</v>
      </c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</row>
    <row r="3" spans="1:190" s="11" customFormat="1" ht="16.2" x14ac:dyDescent="0.25">
      <c r="A3" s="17"/>
      <c r="B3" s="17"/>
      <c r="C3" s="13"/>
      <c r="D3" s="13"/>
      <c r="E3" s="18"/>
      <c r="F3" s="19"/>
      <c r="G3" s="19"/>
      <c r="H3" s="19"/>
      <c r="I3" s="4"/>
      <c r="J3" s="4"/>
      <c r="K3" s="4"/>
      <c r="L3" s="4"/>
      <c r="M3" s="4"/>
      <c r="N3" s="4"/>
      <c r="O3" s="4"/>
      <c r="P3" s="4"/>
      <c r="Q3" s="4"/>
      <c r="R3" s="19"/>
      <c r="S3" s="19"/>
      <c r="T3" s="600" t="s">
        <v>42</v>
      </c>
      <c r="U3" s="600"/>
      <c r="V3" s="600"/>
      <c r="W3" s="600"/>
      <c r="X3" s="600"/>
      <c r="Y3" s="600"/>
      <c r="Z3" s="600"/>
      <c r="AA3" s="600"/>
      <c r="AB3" s="600"/>
      <c r="AC3" s="600"/>
      <c r="AD3" s="600"/>
      <c r="AE3" s="600"/>
      <c r="AF3" s="600"/>
      <c r="AG3" s="600"/>
      <c r="AH3" s="600"/>
      <c r="AI3" s="600"/>
      <c r="AJ3" s="600"/>
      <c r="AK3" s="600"/>
      <c r="AL3" s="600"/>
      <c r="AM3" s="600"/>
      <c r="AN3" s="600"/>
      <c r="AO3" s="600"/>
      <c r="AP3" s="600"/>
      <c r="AQ3" s="600"/>
      <c r="AR3" s="600"/>
      <c r="AS3" s="600"/>
      <c r="AT3" s="600"/>
      <c r="AU3" s="600"/>
      <c r="AV3" s="19"/>
      <c r="AW3" s="19"/>
      <c r="AX3" s="19"/>
      <c r="BA3" s="96" t="str">
        <f>Lista!A3</f>
        <v>Forro</v>
      </c>
      <c r="BB3" s="96" t="str">
        <f>Lista!B3</f>
        <v>Telha Metálica s/ Platibanda</v>
      </c>
      <c r="BC3" s="96" t="str">
        <f>Lista!C3</f>
        <v>Pintura/Textura/Grafiato</v>
      </c>
      <c r="BD3" s="96" t="str">
        <f>Lista!D3</f>
        <v>Ferro</v>
      </c>
      <c r="BE3" s="96" t="str">
        <f>Lista!E3</f>
        <v>Cerâmica Comercial</v>
      </c>
      <c r="BF3" s="96" t="str">
        <f>Lista!F3</f>
        <v>Cerâmica Comercial</v>
      </c>
      <c r="BG3" s="96" t="str">
        <f>Lista!G3</f>
        <v>Cerâmica Comercial</v>
      </c>
      <c r="BH3" s="96" t="str">
        <f>Lista!H3</f>
        <v>Gesso</v>
      </c>
      <c r="BI3" s="96" t="str">
        <f>Lista!I3</f>
        <v>Linha Média</v>
      </c>
      <c r="BJ3" s="96" t="str">
        <f>Lista!J3</f>
        <v>Poço</v>
      </c>
      <c r="BK3" s="96" t="str">
        <f>Lista!K3</f>
        <v>Fossa e Filtro</v>
      </c>
      <c r="BL3" s="96" t="str">
        <f>Lista!L3</f>
        <v>Interna ao terreno</v>
      </c>
      <c r="BM3" s="96" t="str">
        <f>Lista!M3</f>
        <v>Fotovoltaica</v>
      </c>
      <c r="BN3" s="96" t="str">
        <f>Lista!N3</f>
        <v>Interna</v>
      </c>
      <c r="BO3" s="96" t="str">
        <f>Lista!O3</f>
        <v>Cozinha+A.Serviço</v>
      </c>
      <c r="BP3" s="96" t="str">
        <f>Lista!P3</f>
        <v>Isolada(parte empr.não-condom.)</v>
      </c>
      <c r="BQ3" s="96" t="str">
        <f>Lista!Q3</f>
        <v>Aquecimento solar</v>
      </c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</row>
    <row r="4" spans="1:190" s="11" customFormat="1" ht="14.4" x14ac:dyDescent="0.25">
      <c r="A4" s="17">
        <v>1</v>
      </c>
      <c r="B4" s="17"/>
      <c r="C4" s="13"/>
      <c r="D4" s="13"/>
      <c r="E4" s="18"/>
      <c r="F4" s="20"/>
      <c r="G4" s="20"/>
      <c r="H4" s="20"/>
      <c r="I4" s="21"/>
      <c r="J4" s="21"/>
      <c r="K4" s="21"/>
      <c r="L4" s="21"/>
      <c r="M4" s="21"/>
      <c r="N4" s="21"/>
      <c r="O4" s="21"/>
      <c r="P4" s="21"/>
      <c r="Q4" s="21"/>
      <c r="R4" s="20"/>
      <c r="S4" s="20"/>
      <c r="T4" s="601" t="s">
        <v>0</v>
      </c>
      <c r="U4" s="601"/>
      <c r="V4" s="601"/>
      <c r="W4" s="601"/>
      <c r="X4" s="601"/>
      <c r="Y4" s="601"/>
      <c r="Z4" s="601"/>
      <c r="AA4" s="601"/>
      <c r="AB4" s="601"/>
      <c r="AC4" s="601"/>
      <c r="AD4" s="601"/>
      <c r="AE4" s="601"/>
      <c r="AF4" s="601"/>
      <c r="AG4" s="601"/>
      <c r="AH4" s="601"/>
      <c r="AI4" s="601"/>
      <c r="AJ4" s="601"/>
      <c r="AK4" s="601"/>
      <c r="AL4" s="601"/>
      <c r="AM4" s="601"/>
      <c r="AN4" s="601"/>
      <c r="AO4" s="601"/>
      <c r="AP4" s="601"/>
      <c r="AQ4" s="601"/>
      <c r="AR4" s="601"/>
      <c r="AS4" s="601"/>
      <c r="AT4" s="601"/>
      <c r="AU4" s="601"/>
      <c r="AV4" s="20"/>
      <c r="AW4" s="20"/>
      <c r="AX4" s="20"/>
      <c r="BA4" s="96" t="str">
        <f>Lista!A4</f>
        <v>Laje</v>
      </c>
      <c r="BB4" s="96" t="str">
        <f>Lista!B4</f>
        <v>Telha de Fibrocimto. c/ Platibanda</v>
      </c>
      <c r="BC4" s="96" t="str">
        <f>Lista!C4</f>
        <v>Pint./Text./Grafto. e det. em Pedra/Cerâmica</v>
      </c>
      <c r="BD4" s="96" t="str">
        <f>Lista!D4</f>
        <v>Vidro Temperado</v>
      </c>
      <c r="BE4" s="96" t="str">
        <f>Lista!E4</f>
        <v>São Tomé</v>
      </c>
      <c r="BF4" s="96" t="str">
        <f>Lista!F4</f>
        <v>Pedra</v>
      </c>
      <c r="BG4" s="96" t="str">
        <f>Lista!G4</f>
        <v>Pedra</v>
      </c>
      <c r="BH4" s="96" t="str">
        <f>Lista!H4</f>
        <v>Madeira</v>
      </c>
      <c r="BI4" s="96" t="str">
        <f>Lista!I4</f>
        <v>Linha Luxo</v>
      </c>
      <c r="BJ4" s="96" t="str">
        <f>Lista!J4</f>
        <v>Outra</v>
      </c>
      <c r="BK4" s="96" t="str">
        <f>Lista!K4</f>
        <v>Fossa e Sumidouro</v>
      </c>
      <c r="BL4" s="96" t="str">
        <f>Lista!L4</f>
        <v>Outra</v>
      </c>
      <c r="BM4" s="96" t="str">
        <f>Lista!M4</f>
        <v>Eólica</v>
      </c>
      <c r="BN4" s="96" t="str">
        <f>Lista!N4</f>
        <v>Externa coberta</v>
      </c>
      <c r="BO4" s="96" t="str">
        <f>Lista!O4</f>
        <v>Cozinha+Copa</v>
      </c>
      <c r="BP4" s="96" t="str">
        <f>Lista!P4</f>
        <v>Condomínio</v>
      </c>
      <c r="BQ4" s="96" t="str">
        <f>Lista!Q4</f>
        <v>Aquecimento à gás</v>
      </c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</row>
    <row r="5" spans="1:190" s="11" customFormat="1" x14ac:dyDescent="0.25">
      <c r="A5" s="17" t="s">
        <v>289</v>
      </c>
      <c r="B5" s="17"/>
      <c r="C5" s="13"/>
      <c r="D5" s="13"/>
      <c r="E5" s="18"/>
      <c r="F5" s="22"/>
      <c r="G5" s="22"/>
      <c r="H5" s="22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02" t="s">
        <v>43</v>
      </c>
      <c r="U5" s="602"/>
      <c r="V5" s="602"/>
      <c r="W5" s="602"/>
      <c r="X5" s="602"/>
      <c r="Y5" s="602"/>
      <c r="Z5" s="602"/>
      <c r="AA5" s="602"/>
      <c r="AB5" s="602"/>
      <c r="AC5" s="602"/>
      <c r="AD5" s="602"/>
      <c r="AE5" s="602"/>
      <c r="AF5" s="602"/>
      <c r="AG5" s="602"/>
      <c r="AH5" s="602"/>
      <c r="AI5" s="602"/>
      <c r="AJ5" s="602"/>
      <c r="AK5" s="602"/>
      <c r="AL5" s="602"/>
      <c r="AM5" s="602"/>
      <c r="AN5" s="602"/>
      <c r="AO5" s="602"/>
      <c r="AP5" s="602"/>
      <c r="AQ5" s="602"/>
      <c r="AR5" s="602"/>
      <c r="AS5" s="602"/>
      <c r="AT5" s="602"/>
      <c r="AU5" s="602"/>
      <c r="BA5" s="96" t="str">
        <f>Lista!A5</f>
        <v>Laje+Forro</v>
      </c>
      <c r="BB5" s="96" t="str">
        <f>Lista!B5</f>
        <v>Telha de Fibrocimto. s/ Platibanda</v>
      </c>
      <c r="BC5" s="96" t="str">
        <f>Lista!C5</f>
        <v>Cerâmica/Porcelanato</v>
      </c>
      <c r="BD5" s="96" t="str">
        <f>Lista!D5</f>
        <v>PVC</v>
      </c>
      <c r="BE5" s="96" t="str">
        <f>Lista!E5</f>
        <v>Emborrachado</v>
      </c>
      <c r="BF5" s="96" t="str">
        <f>Lista!F5</f>
        <v>Porcelanato 1ª</v>
      </c>
      <c r="BG5" s="96" t="str">
        <f>Lista!G5</f>
        <v>Vinílico</v>
      </c>
      <c r="BH5" s="96" t="str">
        <f>Lista!H5</f>
        <v>Concreto</v>
      </c>
      <c r="BI5" s="96">
        <f>Lista!I5</f>
        <v>0</v>
      </c>
      <c r="BJ5" s="96">
        <f>Lista!J5</f>
        <v>0</v>
      </c>
      <c r="BK5" s="96" t="str">
        <f>Lista!K5</f>
        <v>Outra</v>
      </c>
      <c r="BL5" s="96">
        <f>Lista!L5</f>
        <v>0</v>
      </c>
      <c r="BM5" s="96" t="str">
        <f>Lista!M5</f>
        <v>Outra</v>
      </c>
      <c r="BN5" s="96" t="str">
        <f>Lista!N5</f>
        <v>Externa descoberta</v>
      </c>
      <c r="BO5" s="96" t="str">
        <f>Lista!O5</f>
        <v>Cozinha americana</v>
      </c>
      <c r="BP5" s="96">
        <f>Lista!P5</f>
        <v>0</v>
      </c>
      <c r="BQ5" s="96">
        <f>Lista!Q5</f>
        <v>0</v>
      </c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</row>
    <row r="6" spans="1:190" s="11" customFormat="1" x14ac:dyDescent="0.25">
      <c r="A6" s="17"/>
      <c r="B6" s="17"/>
      <c r="C6" s="13"/>
      <c r="D6" s="13"/>
      <c r="E6" s="18"/>
      <c r="F6"/>
      <c r="G6" s="23" t="s">
        <v>68</v>
      </c>
      <c r="H6"/>
      <c r="I6"/>
      <c r="J6" s="24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BA6" s="96" t="str">
        <f>Lista!A6</f>
        <v>Outros</v>
      </c>
      <c r="BB6" s="96" t="str">
        <f>Lista!B6</f>
        <v>Telha de Barro/Concreto</v>
      </c>
      <c r="BC6" s="96" t="s">
        <v>110</v>
      </c>
      <c r="BD6" s="96" t="str">
        <f>Lista!D6</f>
        <v>Madeira</v>
      </c>
      <c r="BE6" s="96" t="str">
        <f>Lista!E6</f>
        <v>Granita</v>
      </c>
      <c r="BF6" s="96" t="str">
        <f>Lista!F6</f>
        <v>Porcelanato 2ª</v>
      </c>
      <c r="BG6" s="96" t="str">
        <f>Lista!G6</f>
        <v>Emborrachado</v>
      </c>
      <c r="BH6" s="96" t="str">
        <f>Lista!H6</f>
        <v>Aço</v>
      </c>
      <c r="BI6" s="96">
        <f>Lista!I6</f>
        <v>0</v>
      </c>
      <c r="BJ6" s="96">
        <f>Lista!J6</f>
        <v>0</v>
      </c>
      <c r="BK6" s="96">
        <f>Lista!K6</f>
        <v>0</v>
      </c>
      <c r="BL6" s="96">
        <f>Lista!L6</f>
        <v>0</v>
      </c>
      <c r="BM6" s="96">
        <f>Lista!M6</f>
        <v>0</v>
      </c>
      <c r="BN6" s="96">
        <f>Lista!N6</f>
        <v>0</v>
      </c>
      <c r="BO6" s="96">
        <f>Lista!O6</f>
        <v>0</v>
      </c>
      <c r="BP6" s="96">
        <f>Lista!P6</f>
        <v>0</v>
      </c>
      <c r="BQ6" s="96">
        <f>Lista!Q6</f>
        <v>0</v>
      </c>
      <c r="BR6"/>
      <c r="BS6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</row>
    <row r="7" spans="1:190" s="11" customFormat="1" ht="3.9" customHeight="1" x14ac:dyDescent="0.25">
      <c r="A7" s="17"/>
      <c r="B7" s="17"/>
      <c r="C7" s="13"/>
      <c r="D7" s="13"/>
      <c r="E7" s="18"/>
      <c r="F7"/>
      <c r="G7" s="25"/>
      <c r="H7" s="25"/>
      <c r="I7" s="26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BA7" s="96">
        <f>Lista!A7</f>
        <v>0</v>
      </c>
      <c r="BB7" s="96" t="str">
        <f>Lista!B7</f>
        <v>Laje Impermeabilizada</v>
      </c>
      <c r="BC7" s="96"/>
      <c r="BD7" s="96" t="str">
        <f>Lista!D7</f>
        <v>Outros</v>
      </c>
      <c r="BE7" s="96" t="str">
        <f>Lista!E7</f>
        <v>Formicado</v>
      </c>
      <c r="BF7" s="96" t="str">
        <f>Lista!F7</f>
        <v>Granito/Mármore</v>
      </c>
      <c r="BG7" s="96" t="str">
        <f>Lista!G7</f>
        <v>Porcelanato 1ª</v>
      </c>
      <c r="BH7" s="96" t="str">
        <f>Lista!H7</f>
        <v>Outros</v>
      </c>
      <c r="BI7" s="96">
        <f>Lista!I7</f>
        <v>0</v>
      </c>
      <c r="BJ7" s="96">
        <f>Lista!J7</f>
        <v>0</v>
      </c>
      <c r="BK7" s="96">
        <f>Lista!K7</f>
        <v>0</v>
      </c>
      <c r="BL7" s="96">
        <f>Lista!L7</f>
        <v>0</v>
      </c>
      <c r="BM7" s="96">
        <f>Lista!M7</f>
        <v>0</v>
      </c>
      <c r="BN7" s="96">
        <f>Lista!N7</f>
        <v>0</v>
      </c>
      <c r="BO7" s="96">
        <f>Lista!O7</f>
        <v>0</v>
      </c>
      <c r="BP7" s="96">
        <f>Lista!P7</f>
        <v>0</v>
      </c>
      <c r="BQ7" s="96">
        <f>Lista!Q7</f>
        <v>0</v>
      </c>
      <c r="BR7"/>
      <c r="BS7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</row>
    <row r="8" spans="1:190" s="11" customFormat="1" x14ac:dyDescent="0.25">
      <c r="A8" s="17"/>
      <c r="B8" s="17"/>
      <c r="C8" s="13"/>
      <c r="D8" s="13"/>
      <c r="E8" s="18"/>
      <c r="F8"/>
      <c r="G8" s="22" t="s">
        <v>37</v>
      </c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BA8" s="96">
        <f>Lista!A8</f>
        <v>0</v>
      </c>
      <c r="BB8" s="96" t="str">
        <f>Lista!B8</f>
        <v>Outros</v>
      </c>
      <c r="BC8" s="96">
        <f>Lista!C8</f>
        <v>0</v>
      </c>
      <c r="BD8" s="96">
        <f>Lista!D8</f>
        <v>0</v>
      </c>
      <c r="BE8" s="96" t="str">
        <f>Lista!E8</f>
        <v>Porcelanato 2ª</v>
      </c>
      <c r="BF8" s="96" t="str">
        <f>Lista!F8</f>
        <v>Outros</v>
      </c>
      <c r="BG8" s="96" t="str">
        <f>Lista!G8</f>
        <v>Porcelanato 2ª</v>
      </c>
      <c r="BH8" s="96">
        <f>Lista!H8</f>
        <v>0</v>
      </c>
      <c r="BI8" s="96">
        <f>Lista!I8</f>
        <v>0</v>
      </c>
      <c r="BJ8" s="96">
        <f>Proposta_Constr_Individual!BC68</f>
        <v>0</v>
      </c>
      <c r="BK8" s="96">
        <f>Proposta_Constr_Individual!BD68</f>
        <v>0</v>
      </c>
      <c r="BL8" s="96">
        <f>Proposta_Constr_Individual!BE68</f>
        <v>0</v>
      </c>
      <c r="BM8" s="96">
        <f>Proposta_Constr_Individual!BF68</f>
        <v>0</v>
      </c>
      <c r="BN8" s="96">
        <f>Proposta_Constr_Individual!BG68</f>
        <v>0</v>
      </c>
      <c r="BO8" s="96">
        <f>Proposta_Constr_Individual!BH68</f>
        <v>0</v>
      </c>
      <c r="BP8" s="96">
        <f>Proposta_Constr_Individual!BI68</f>
        <v>0</v>
      </c>
      <c r="BQ8" s="96">
        <f>Proposta_Constr_Individual!BJ68</f>
        <v>0</v>
      </c>
      <c r="BR8"/>
      <c r="BS8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</row>
    <row r="9" spans="1:190" s="11" customFormat="1" ht="3.9" customHeight="1" x14ac:dyDescent="0.25">
      <c r="A9" s="17"/>
      <c r="B9" s="17"/>
      <c r="C9" s="13"/>
      <c r="D9" s="13"/>
      <c r="E9" s="18"/>
      <c r="F9"/>
      <c r="G9" s="25"/>
      <c r="H9" s="25"/>
      <c r="I9" s="26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BA9" s="96">
        <f>Lista!A9</f>
        <v>0</v>
      </c>
      <c r="BB9" s="96">
        <f>Lista!B9</f>
        <v>0</v>
      </c>
      <c r="BC9" s="96">
        <f>Lista!C9</f>
        <v>0</v>
      </c>
      <c r="BD9" s="96">
        <f>Lista!D9</f>
        <v>0</v>
      </c>
      <c r="BE9" s="96" t="str">
        <f>Lista!E9</f>
        <v>Granito/Mármore 2ª</v>
      </c>
      <c r="BF9" s="96">
        <f>Lista!F9</f>
        <v>0</v>
      </c>
      <c r="BG9" s="96" t="str">
        <f>Lista!G9</f>
        <v>Laminado</v>
      </c>
      <c r="BH9" s="96">
        <f>Lista!H9</f>
        <v>0</v>
      </c>
      <c r="BI9" s="96">
        <f>Lista!I9</f>
        <v>0</v>
      </c>
      <c r="BJ9" s="96">
        <f>Lista!J9</f>
        <v>0</v>
      </c>
      <c r="BK9" s="96">
        <f>Lista!K9</f>
        <v>0</v>
      </c>
      <c r="BL9" s="96">
        <f>Lista!L9</f>
        <v>0</v>
      </c>
      <c r="BM9" s="96">
        <f>Lista!M9</f>
        <v>0</v>
      </c>
      <c r="BN9" s="96">
        <f>Lista!N9</f>
        <v>0</v>
      </c>
      <c r="BO9" s="96">
        <f>Lista!O9</f>
        <v>0</v>
      </c>
      <c r="BP9" s="96">
        <f>Lista!P9</f>
        <v>0</v>
      </c>
      <c r="BQ9" s="96">
        <f>Lista!Q9</f>
        <v>0</v>
      </c>
      <c r="BR9"/>
      <c r="BS9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</row>
    <row r="10" spans="1:190" s="11" customFormat="1" ht="12.75" customHeight="1" x14ac:dyDescent="0.25">
      <c r="A10" s="17"/>
      <c r="B10" s="17"/>
      <c r="C10" s="13"/>
      <c r="D10" s="13"/>
      <c r="E10" s="18"/>
      <c r="F10"/>
      <c r="G10" s="590"/>
      <c r="H10" s="591"/>
      <c r="I10" s="592"/>
      <c r="J10"/>
      <c r="K10" s="607"/>
      <c r="L10" s="608"/>
      <c r="M10" s="609"/>
      <c r="N10"/>
      <c r="O10" s="560" t="s">
        <v>50</v>
      </c>
      <c r="P10" s="560"/>
      <c r="Q10" s="560"/>
      <c r="R10" s="560"/>
      <c r="S10" s="560"/>
      <c r="T10" s="560"/>
      <c r="U10" s="560"/>
      <c r="V10" s="560"/>
      <c r="W10" s="560"/>
      <c r="X10" s="560"/>
      <c r="Y10" s="560"/>
      <c r="Z10" s="560"/>
      <c r="AA10" s="560"/>
      <c r="AB10" s="560"/>
      <c r="AC10" s="560"/>
      <c r="AD10" s="560"/>
      <c r="AE10" s="560"/>
      <c r="AF10" s="560"/>
      <c r="AG10" s="560"/>
      <c r="AH10" s="560"/>
      <c r="AI10" s="560"/>
      <c r="AJ10" s="560"/>
      <c r="AK10" s="560"/>
      <c r="AL10" s="560"/>
      <c r="AM10" s="560"/>
      <c r="AN10" s="560"/>
      <c r="AO10" s="560"/>
      <c r="AP10" s="560"/>
      <c r="AQ10" s="560"/>
      <c r="AR10" s="560"/>
      <c r="AS10" s="560"/>
      <c r="AT10" s="560"/>
      <c r="AU10" s="560"/>
      <c r="AV10" s="560"/>
      <c r="AW10" s="560"/>
      <c r="BA10" s="96">
        <f>Lista!A10</f>
        <v>0</v>
      </c>
      <c r="BB10" s="96">
        <f>Lista!B10</f>
        <v>0</v>
      </c>
      <c r="BC10" s="96">
        <f>Lista!C10</f>
        <v>0</v>
      </c>
      <c r="BD10" s="96">
        <f>Lista!D10</f>
        <v>0</v>
      </c>
      <c r="BE10" s="96" t="str">
        <f>Lista!E10</f>
        <v>Pintura/Textura</v>
      </c>
      <c r="BF10" s="96">
        <f>Lista!F10</f>
        <v>0</v>
      </c>
      <c r="BG10" s="96" t="str">
        <f>Lista!G10</f>
        <v>Granito/Mármore</v>
      </c>
      <c r="BH10" s="96">
        <f>Lista!H10</f>
        <v>0</v>
      </c>
      <c r="BI10" s="96">
        <f>Lista!I10</f>
        <v>0</v>
      </c>
      <c r="BJ10" s="96">
        <f>Lista!J10</f>
        <v>0</v>
      </c>
      <c r="BK10" s="96">
        <f>Lista!K10</f>
        <v>0</v>
      </c>
      <c r="BL10" s="96">
        <f>Lista!L10</f>
        <v>0</v>
      </c>
      <c r="BM10" s="96">
        <f>Lista!M10</f>
        <v>0</v>
      </c>
      <c r="BN10" s="96">
        <f>Lista!N10</f>
        <v>0</v>
      </c>
      <c r="BO10" s="96">
        <f>Lista!O10</f>
        <v>0</v>
      </c>
      <c r="BP10" s="96">
        <f>Lista!P10</f>
        <v>0</v>
      </c>
      <c r="BQ10" s="96">
        <f>Lista!Q10</f>
        <v>0</v>
      </c>
      <c r="BR10"/>
      <c r="BS10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</row>
    <row r="11" spans="1:190" s="11" customFormat="1" x14ac:dyDescent="0.25">
      <c r="A11" s="17"/>
      <c r="B11" s="17"/>
      <c r="C11" s="13"/>
      <c r="D11" s="13"/>
      <c r="E11" s="18"/>
      <c r="F11"/>
      <c r="G11" s="27"/>
      <c r="H11"/>
      <c r="I11"/>
      <c r="J11" s="24"/>
      <c r="K11"/>
      <c r="L11"/>
      <c r="M11"/>
      <c r="N11"/>
      <c r="O11" s="560"/>
      <c r="P11" s="560"/>
      <c r="Q11" s="560"/>
      <c r="R11" s="560"/>
      <c r="S11" s="560"/>
      <c r="T11" s="560"/>
      <c r="U11" s="560"/>
      <c r="V11" s="560"/>
      <c r="W11" s="560"/>
      <c r="X11" s="560"/>
      <c r="Y11" s="560"/>
      <c r="Z11" s="560"/>
      <c r="AA11" s="560"/>
      <c r="AB11" s="560"/>
      <c r="AC11" s="560"/>
      <c r="AD11" s="560"/>
      <c r="AE11" s="560"/>
      <c r="AF11" s="560"/>
      <c r="AG11" s="560"/>
      <c r="AH11" s="560"/>
      <c r="AI11" s="560"/>
      <c r="AJ11" s="560"/>
      <c r="AK11" s="560"/>
      <c r="AL11" s="560"/>
      <c r="AM11" s="560"/>
      <c r="AN11" s="560"/>
      <c r="AO11" s="560"/>
      <c r="AP11" s="560"/>
      <c r="AQ11" s="560"/>
      <c r="AR11" s="560"/>
      <c r="AS11" s="560"/>
      <c r="AT11" s="560"/>
      <c r="AU11" s="560"/>
      <c r="AV11" s="560"/>
      <c r="AW11" s="560"/>
      <c r="BA11" s="96">
        <f>Lista!A11</f>
        <v>0</v>
      </c>
      <c r="BB11" s="96">
        <f>Lista!B11</f>
        <v>0</v>
      </c>
      <c r="BC11" s="96">
        <f>Lista!C11</f>
        <v>0</v>
      </c>
      <c r="BD11" s="96">
        <f>Lista!D11</f>
        <v>0</v>
      </c>
      <c r="BE11" s="96" t="str">
        <f>Lista!E11</f>
        <v>Grafiato</v>
      </c>
      <c r="BF11" s="96">
        <f>Lista!F11</f>
        <v>0</v>
      </c>
      <c r="BG11" s="96" t="str">
        <f>Lista!G11</f>
        <v>Outros</v>
      </c>
      <c r="BH11" s="96">
        <f>Lista!H11</f>
        <v>0</v>
      </c>
      <c r="BI11" s="96">
        <f>Lista!I11</f>
        <v>0</v>
      </c>
      <c r="BJ11" s="96">
        <f>Lista!J11</f>
        <v>0</v>
      </c>
      <c r="BK11" s="96">
        <f>Lista!K11</f>
        <v>0</v>
      </c>
      <c r="BL11" s="96">
        <f>Lista!L11</f>
        <v>0</v>
      </c>
      <c r="BM11" s="96">
        <f>Lista!M11</f>
        <v>0</v>
      </c>
      <c r="BN11" s="96">
        <f>Lista!N11</f>
        <v>0</v>
      </c>
      <c r="BO11" s="96">
        <f>Lista!O11</f>
        <v>0</v>
      </c>
      <c r="BP11" s="96">
        <f>Lista!P11</f>
        <v>0</v>
      </c>
      <c r="BQ11" s="96">
        <f>Lista!Q11</f>
        <v>0</v>
      </c>
      <c r="BR11"/>
      <c r="BS11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</row>
    <row r="12" spans="1:190" s="11" customFormat="1" ht="3.9" customHeight="1" x14ac:dyDescent="0.25">
      <c r="A12" s="17"/>
      <c r="B12" s="17"/>
      <c r="C12" s="13"/>
      <c r="D12" s="13"/>
      <c r="E12" s="18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BA12" s="96">
        <f>Lista!A12</f>
        <v>0</v>
      </c>
      <c r="BB12" s="96">
        <f>Lista!B12</f>
        <v>0</v>
      </c>
      <c r="BC12" s="96">
        <f>Lista!C12</f>
        <v>0</v>
      </c>
      <c r="BD12" s="96">
        <f>Lista!D12</f>
        <v>0</v>
      </c>
      <c r="BE12" s="96" t="str">
        <f>Lista!E12</f>
        <v>Cerâmica Extra</v>
      </c>
      <c r="BF12" s="96">
        <f>Lista!F12</f>
        <v>0</v>
      </c>
      <c r="BG12" s="96">
        <f>Lista!G12</f>
        <v>0</v>
      </c>
      <c r="BH12" s="96">
        <f>Lista!H12</f>
        <v>0</v>
      </c>
      <c r="BI12" s="96">
        <f>Lista!I12</f>
        <v>0</v>
      </c>
      <c r="BJ12" s="96">
        <f>Lista!J12</f>
        <v>0</v>
      </c>
      <c r="BK12" s="96">
        <f>Lista!K12</f>
        <v>0</v>
      </c>
      <c r="BL12" s="96">
        <f>Lista!L12</f>
        <v>0</v>
      </c>
      <c r="BM12" s="96">
        <f>Lista!M12</f>
        <v>0</v>
      </c>
      <c r="BN12" s="96">
        <f>Lista!N12</f>
        <v>0</v>
      </c>
      <c r="BO12" s="96">
        <f>Lista!O12</f>
        <v>0</v>
      </c>
      <c r="BP12" s="96">
        <f>Lista!P12</f>
        <v>0</v>
      </c>
      <c r="BQ12" s="96">
        <f>Lista!Q12</f>
        <v>0</v>
      </c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</row>
    <row r="13" spans="1:190" s="11" customFormat="1" ht="12.75" hidden="1" customHeight="1" x14ac:dyDescent="0.25">
      <c r="A13" s="17"/>
      <c r="B13" s="17"/>
      <c r="C13" s="13"/>
      <c r="D13" s="13"/>
      <c r="E13" s="18"/>
      <c r="F13"/>
      <c r="G13" s="561"/>
      <c r="H13" s="562"/>
      <c r="I13" s="563"/>
      <c r="J13" s="28"/>
      <c r="K13" s="561"/>
      <c r="L13" s="562"/>
      <c r="M13" s="563"/>
      <c r="N13"/>
      <c r="O13" s="589"/>
      <c r="P13" s="589"/>
      <c r="Q13" s="589"/>
      <c r="R13" s="589"/>
      <c r="S13" s="589"/>
      <c r="T13" s="589"/>
      <c r="U13" s="589"/>
      <c r="V13" s="589"/>
      <c r="W13" s="589"/>
      <c r="X13" s="589"/>
      <c r="Y13" s="589"/>
      <c r="Z13" s="589"/>
      <c r="AA13" s="589"/>
      <c r="AB13" s="589"/>
      <c r="AC13" s="589"/>
      <c r="AD13" s="589"/>
      <c r="AE13" s="589"/>
      <c r="AF13" s="589"/>
      <c r="AG13" s="589"/>
      <c r="AH13" s="589"/>
      <c r="AI13" s="589"/>
      <c r="AJ13" s="589"/>
      <c r="AK13" s="589"/>
      <c r="AL13" s="589"/>
      <c r="AM13" s="589"/>
      <c r="AN13" s="589"/>
      <c r="AO13" s="589"/>
      <c r="AP13" s="589"/>
      <c r="AQ13" s="589"/>
      <c r="AR13" s="589"/>
      <c r="AS13" s="589"/>
      <c r="AT13" s="589"/>
      <c r="AU13" s="589"/>
      <c r="AV13" s="589"/>
      <c r="AW13" s="589"/>
      <c r="AX13" s="29"/>
      <c r="AY13" s="29"/>
      <c r="AZ13" s="29"/>
      <c r="BA13" s="96"/>
      <c r="BB13" s="96"/>
      <c r="BC13" s="96"/>
      <c r="BD13" s="96"/>
      <c r="BE13" s="96"/>
      <c r="BF13" s="96"/>
      <c r="BG13" s="96"/>
      <c r="BH13" s="96"/>
      <c r="BI13" s="96"/>
      <c r="BJ13" s="96"/>
      <c r="BK13" s="96"/>
      <c r="BL13" s="96"/>
      <c r="BM13" s="96"/>
      <c r="BN13" s="96"/>
      <c r="BO13" s="96"/>
      <c r="BP13" s="96"/>
      <c r="BQ13" s="96"/>
      <c r="BR13" s="29"/>
      <c r="BS13" s="29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</row>
    <row r="14" spans="1:190" s="11" customFormat="1" ht="12.75" hidden="1" customHeight="1" x14ac:dyDescent="0.25">
      <c r="A14" s="17"/>
      <c r="B14" s="17"/>
      <c r="C14" s="13"/>
      <c r="D14" s="13"/>
      <c r="E14" s="18"/>
      <c r="F14"/>
      <c r="G14" s="30"/>
      <c r="H14" s="30"/>
      <c r="I14" s="30"/>
      <c r="K14" s="30"/>
      <c r="L14" s="30"/>
      <c r="M14" s="30"/>
      <c r="N14"/>
      <c r="O14" s="589"/>
      <c r="P14" s="589"/>
      <c r="Q14" s="589"/>
      <c r="R14" s="589"/>
      <c r="S14" s="589"/>
      <c r="T14" s="589"/>
      <c r="U14" s="589"/>
      <c r="V14" s="589"/>
      <c r="W14" s="589"/>
      <c r="X14" s="589"/>
      <c r="Y14" s="589"/>
      <c r="Z14" s="589"/>
      <c r="AA14" s="589"/>
      <c r="AB14" s="589"/>
      <c r="AC14" s="589"/>
      <c r="AD14" s="589"/>
      <c r="AE14" s="589"/>
      <c r="AF14" s="589"/>
      <c r="AG14" s="589"/>
      <c r="AH14" s="589"/>
      <c r="AI14" s="589"/>
      <c r="AJ14" s="589"/>
      <c r="AK14" s="589"/>
      <c r="AL14" s="589"/>
      <c r="AM14" s="589"/>
      <c r="AN14" s="589"/>
      <c r="AO14" s="589"/>
      <c r="AP14" s="589"/>
      <c r="AQ14" s="589"/>
      <c r="AR14" s="589"/>
      <c r="AS14" s="589"/>
      <c r="AT14" s="589"/>
      <c r="AU14" s="589"/>
      <c r="AV14" s="589"/>
      <c r="AW14" s="589"/>
      <c r="AX14" s="29"/>
      <c r="AY14" s="29"/>
      <c r="AZ14" s="29"/>
      <c r="BA14" s="96"/>
      <c r="BB14" s="96"/>
      <c r="BC14" s="96"/>
      <c r="BD14" s="96"/>
      <c r="BE14" s="96"/>
      <c r="BF14" s="96"/>
      <c r="BG14" s="96"/>
      <c r="BH14" s="96"/>
      <c r="BI14" s="96"/>
      <c r="BJ14" s="96"/>
      <c r="BK14" s="96"/>
      <c r="BL14" s="96"/>
      <c r="BM14" s="96"/>
      <c r="BN14" s="96"/>
      <c r="BO14" s="96"/>
      <c r="BP14" s="96"/>
      <c r="BQ14" s="96"/>
      <c r="BR14" s="29"/>
      <c r="BS14" s="29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</row>
    <row r="15" spans="1:190" s="11" customFormat="1" ht="12.75" hidden="1" customHeight="1" x14ac:dyDescent="0.25">
      <c r="A15" s="17"/>
      <c r="B15" s="17"/>
      <c r="C15" s="13"/>
      <c r="D15" s="13"/>
      <c r="E15" s="18"/>
      <c r="F15"/>
      <c r="N15"/>
      <c r="O15" s="589"/>
      <c r="P15" s="589"/>
      <c r="Q15" s="589"/>
      <c r="R15" s="589"/>
      <c r="S15" s="589"/>
      <c r="T15" s="589"/>
      <c r="U15" s="589"/>
      <c r="V15" s="589"/>
      <c r="W15" s="589"/>
      <c r="X15" s="589"/>
      <c r="Y15" s="589"/>
      <c r="Z15" s="589"/>
      <c r="AA15" s="589"/>
      <c r="AB15" s="589"/>
      <c r="AC15" s="589"/>
      <c r="AD15" s="589"/>
      <c r="AE15" s="589"/>
      <c r="AF15" s="589"/>
      <c r="AG15" s="589"/>
      <c r="AH15" s="589"/>
      <c r="AI15" s="589"/>
      <c r="AJ15" s="589"/>
      <c r="AK15" s="589"/>
      <c r="AL15" s="589"/>
      <c r="AM15" s="589"/>
      <c r="AN15" s="589"/>
      <c r="AO15" s="589"/>
      <c r="AP15" s="589"/>
      <c r="AQ15" s="589"/>
      <c r="AR15" s="589"/>
      <c r="AS15" s="589"/>
      <c r="AT15" s="589"/>
      <c r="AU15" s="589"/>
      <c r="AV15" s="589"/>
      <c r="AW15" s="589"/>
      <c r="AX15" s="29"/>
      <c r="AY15" s="29"/>
      <c r="AZ15" s="29"/>
      <c r="BA15" s="96"/>
      <c r="BB15" s="96"/>
      <c r="BC15" s="96"/>
      <c r="BD15" s="96"/>
      <c r="BE15" s="96"/>
      <c r="BF15" s="96"/>
      <c r="BG15" s="96"/>
      <c r="BH15" s="96"/>
      <c r="BI15" s="96"/>
      <c r="BJ15" s="96"/>
      <c r="BK15" s="96"/>
      <c r="BL15" s="96"/>
      <c r="BM15" s="96"/>
      <c r="BN15" s="96"/>
      <c r="BO15" s="96"/>
      <c r="BP15" s="96"/>
      <c r="BQ15" s="96"/>
      <c r="BR15" s="29"/>
      <c r="BS15" s="29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</row>
    <row r="16" spans="1:190" s="11" customFormat="1" hidden="1" x14ac:dyDescent="0.25">
      <c r="A16" s="17"/>
      <c r="B16" s="17"/>
      <c r="C16" s="13"/>
      <c r="D16" s="13"/>
      <c r="E16" s="18"/>
      <c r="F16"/>
      <c r="G16"/>
      <c r="H16"/>
      <c r="I16"/>
      <c r="J16"/>
      <c r="K16"/>
      <c r="L16"/>
      <c r="M16"/>
      <c r="N16"/>
      <c r="O16" s="589"/>
      <c r="P16" s="589"/>
      <c r="Q16" s="589"/>
      <c r="R16" s="589"/>
      <c r="S16" s="589"/>
      <c r="T16" s="589"/>
      <c r="U16" s="589"/>
      <c r="V16" s="589"/>
      <c r="W16" s="589"/>
      <c r="X16" s="589"/>
      <c r="Y16" s="589"/>
      <c r="Z16" s="589"/>
      <c r="AA16" s="589"/>
      <c r="AB16" s="589"/>
      <c r="AC16" s="589"/>
      <c r="AD16" s="589"/>
      <c r="AE16" s="589"/>
      <c r="AF16" s="589"/>
      <c r="AG16" s="589"/>
      <c r="AH16" s="589"/>
      <c r="AI16" s="589"/>
      <c r="AJ16" s="589"/>
      <c r="AK16" s="589"/>
      <c r="AL16" s="589"/>
      <c r="AM16" s="589"/>
      <c r="AN16" s="589"/>
      <c r="AO16" s="589"/>
      <c r="AP16" s="589"/>
      <c r="AQ16" s="589"/>
      <c r="AR16" s="589"/>
      <c r="AS16" s="589"/>
      <c r="AT16" s="589"/>
      <c r="AU16" s="589"/>
      <c r="AV16" s="589"/>
      <c r="AW16" s="589"/>
      <c r="AX16" s="29"/>
      <c r="AY16" s="29"/>
      <c r="AZ16" s="29"/>
      <c r="BA16" s="96"/>
      <c r="BB16" s="96"/>
      <c r="BC16" s="96"/>
      <c r="BD16" s="96"/>
      <c r="BE16" s="96"/>
      <c r="BF16" s="96"/>
      <c r="BG16" s="96"/>
      <c r="BH16" s="96"/>
      <c r="BI16" s="96"/>
      <c r="BJ16" s="96"/>
      <c r="BK16" s="96"/>
      <c r="BL16" s="96"/>
      <c r="BM16" s="96"/>
      <c r="BN16" s="96"/>
      <c r="BO16" s="96"/>
      <c r="BP16" s="96"/>
      <c r="BQ16" s="96"/>
      <c r="BR16" s="29"/>
      <c r="BS16" s="29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</row>
    <row r="17" spans="1:202" s="11" customFormat="1" ht="3.9" customHeight="1" x14ac:dyDescent="0.25">
      <c r="A17" s="17"/>
      <c r="B17" s="17"/>
      <c r="C17" s="13"/>
      <c r="D17" s="13"/>
      <c r="E17" s="18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BA17" s="96">
        <f>Lista!A17</f>
        <v>0</v>
      </c>
      <c r="BB17" s="96">
        <f>Lista!B17</f>
        <v>0</v>
      </c>
      <c r="BC17" s="96">
        <f>Lista!C17</f>
        <v>0</v>
      </c>
      <c r="BD17" s="96">
        <f>Lista!D17</f>
        <v>0</v>
      </c>
      <c r="BE17" s="96">
        <f>Lista!E17</f>
        <v>0</v>
      </c>
      <c r="BF17" s="96">
        <f>Lista!F17</f>
        <v>0</v>
      </c>
      <c r="BG17" s="96">
        <f>Lista!G17</f>
        <v>0</v>
      </c>
      <c r="BH17" s="96">
        <f>Lista!H17</f>
        <v>0</v>
      </c>
      <c r="BI17" s="96">
        <f>Lista!I17</f>
        <v>0</v>
      </c>
      <c r="BJ17" s="96">
        <f>Lista!J17</f>
        <v>0</v>
      </c>
      <c r="BK17" s="96">
        <f>Lista!K17</f>
        <v>0</v>
      </c>
      <c r="BL17" s="96">
        <f>Lista!L17</f>
        <v>0</v>
      </c>
      <c r="BM17" s="96">
        <f>Lista!M17</f>
        <v>0</v>
      </c>
      <c r="BN17" s="96">
        <f>Lista!N17</f>
        <v>0</v>
      </c>
      <c r="BO17" s="96">
        <f>Lista!O17</f>
        <v>0</v>
      </c>
      <c r="BP17" s="96">
        <f>Lista!P17</f>
        <v>0</v>
      </c>
      <c r="BQ17" s="96">
        <f>Lista!Q17</f>
        <v>0</v>
      </c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</row>
    <row r="18" spans="1:202" s="11" customFormat="1" ht="27.9" customHeight="1" x14ac:dyDescent="0.25">
      <c r="A18" s="17"/>
      <c r="B18" s="17"/>
      <c r="C18" s="13"/>
      <c r="D18" s="13"/>
      <c r="E18" s="18"/>
      <c r="F18"/>
      <c r="G18" s="603" t="s">
        <v>51</v>
      </c>
      <c r="H18" s="604"/>
      <c r="I18" s="604"/>
      <c r="J18" s="604"/>
      <c r="K18" s="604"/>
      <c r="L18" s="604"/>
      <c r="M18" s="604"/>
      <c r="N18" s="604"/>
      <c r="O18" s="604"/>
      <c r="P18" s="604"/>
      <c r="Q18" s="604"/>
      <c r="R18" s="604"/>
      <c r="S18" s="604"/>
      <c r="T18" s="604"/>
      <c r="U18" s="604"/>
      <c r="V18" s="604"/>
      <c r="W18" s="604"/>
      <c r="X18" s="604"/>
      <c r="Y18" s="604"/>
      <c r="Z18" s="604"/>
      <c r="AA18" s="604"/>
      <c r="AB18" s="604"/>
      <c r="AC18" s="604"/>
      <c r="AD18" s="604"/>
      <c r="AE18" s="604"/>
      <c r="AF18" s="604"/>
      <c r="AG18" s="604"/>
      <c r="AH18" s="604"/>
      <c r="AI18" s="604"/>
      <c r="AJ18" s="604"/>
      <c r="AK18" s="604"/>
      <c r="AL18" s="604"/>
      <c r="AM18" s="604"/>
      <c r="AN18" s="604"/>
      <c r="AO18" s="604"/>
      <c r="AP18" s="604"/>
      <c r="AQ18" s="604"/>
      <c r="AR18" s="604"/>
      <c r="AS18" s="604"/>
      <c r="AT18" s="604"/>
      <c r="AU18" s="604"/>
      <c r="AV18" s="604"/>
      <c r="AW18" s="60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</row>
    <row r="19" spans="1:202" s="11" customFormat="1" ht="3.9" customHeight="1" x14ac:dyDescent="0.25">
      <c r="A19" s="17"/>
      <c r="B19" s="17"/>
      <c r="C19" s="13"/>
      <c r="D19" s="13"/>
      <c r="E19" s="18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</row>
    <row r="20" spans="1:202" s="11" customFormat="1" ht="12.75" customHeight="1" x14ac:dyDescent="0.25">
      <c r="A20" s="17"/>
      <c r="B20" s="17"/>
      <c r="C20" s="13"/>
      <c r="D20" s="13"/>
      <c r="E20" s="18"/>
      <c r="F20"/>
      <c r="G20" s="606" t="s">
        <v>274</v>
      </c>
      <c r="H20" s="606"/>
      <c r="I20" s="606"/>
      <c r="J20" s="606"/>
      <c r="K20" s="606"/>
      <c r="L20" s="606"/>
      <c r="M20" s="606"/>
      <c r="N20" s="606"/>
      <c r="O20" s="606"/>
      <c r="P20" s="606"/>
      <c r="Q20" s="606"/>
      <c r="R20" s="606"/>
      <c r="S20" s="606"/>
      <c r="T20" s="606"/>
      <c r="U20" s="606"/>
      <c r="V20" s="606"/>
      <c r="W20" s="606"/>
      <c r="X20" s="606"/>
      <c r="Y20" s="606"/>
      <c r="Z20" s="606"/>
      <c r="AA20" s="606"/>
      <c r="AB20" s="606"/>
      <c r="AC20" s="606"/>
      <c r="AD20" s="606"/>
      <c r="AE20" s="606"/>
      <c r="AF20" s="606"/>
      <c r="AG20" s="606"/>
      <c r="AH20" s="606"/>
      <c r="AI20" s="606"/>
      <c r="AJ20" s="606"/>
      <c r="AK20" s="606"/>
      <c r="AL20" s="606"/>
      <c r="AM20" s="606"/>
      <c r="AN20" s="606"/>
      <c r="AO20" s="606"/>
      <c r="AP20" s="606"/>
      <c r="AQ20" s="606"/>
      <c r="AR20" s="606"/>
      <c r="AS20" s="606"/>
      <c r="AT20" s="606"/>
      <c r="AU20" s="606"/>
      <c r="AV20" s="606"/>
      <c r="AW20" s="606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</row>
    <row r="21" spans="1:202" s="11" customFormat="1" ht="3.9" customHeight="1" x14ac:dyDescent="0.25">
      <c r="A21" s="17"/>
      <c r="B21" s="17"/>
      <c r="C21" s="13"/>
      <c r="D21" s="13"/>
      <c r="E21" s="18"/>
      <c r="F21"/>
      <c r="G21" s="12"/>
      <c r="H21" s="12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</row>
    <row r="22" spans="1:202" customFormat="1" ht="12" customHeight="1" x14ac:dyDescent="0.25">
      <c r="A22" s="31"/>
      <c r="G22" s="564">
        <v>1</v>
      </c>
      <c r="H22" s="565"/>
      <c r="I22" s="566"/>
      <c r="K22" s="570" t="s">
        <v>2</v>
      </c>
      <c r="L22" s="587"/>
      <c r="M22" s="587"/>
      <c r="N22" s="587"/>
      <c r="O22" s="587"/>
      <c r="P22" s="587"/>
      <c r="Q22" s="587"/>
      <c r="R22" s="587"/>
      <c r="S22" s="587"/>
      <c r="T22" s="587"/>
      <c r="U22" s="587"/>
      <c r="V22" s="587"/>
      <c r="W22" s="587"/>
      <c r="X22" s="587"/>
      <c r="Y22" s="587"/>
      <c r="Z22" s="587"/>
      <c r="AA22" s="587"/>
      <c r="AB22" s="587"/>
      <c r="AC22" s="587"/>
      <c r="AD22" s="587"/>
      <c r="AE22" s="587"/>
      <c r="AF22" s="587"/>
      <c r="AG22" s="587"/>
      <c r="AH22" s="587"/>
      <c r="AI22" s="587"/>
      <c r="AJ22" s="587"/>
      <c r="AK22" s="587"/>
      <c r="AL22" s="587"/>
      <c r="AM22" s="587"/>
      <c r="AN22" s="587"/>
      <c r="AO22" s="587"/>
      <c r="AP22" s="587"/>
      <c r="AQ22" s="587"/>
      <c r="AR22" s="587"/>
      <c r="AS22" s="587"/>
      <c r="AT22" s="587"/>
      <c r="AU22" s="587"/>
      <c r="AV22" s="587"/>
      <c r="AW22" s="588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</row>
    <row r="23" spans="1:202" customFormat="1" ht="3.9" customHeight="1" x14ac:dyDescent="0.25">
      <c r="A23" s="31"/>
      <c r="G23" s="25"/>
      <c r="H23" s="25"/>
      <c r="I23" s="26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</row>
    <row r="24" spans="1:202" customFormat="1" ht="42" customHeight="1" x14ac:dyDescent="0.25">
      <c r="A24" s="31"/>
      <c r="E24" s="32"/>
      <c r="G24" s="564" t="s">
        <v>1</v>
      </c>
      <c r="H24" s="565"/>
      <c r="I24" s="566"/>
      <c r="K24" s="567" t="s">
        <v>500</v>
      </c>
      <c r="L24" s="568"/>
      <c r="M24" s="568"/>
      <c r="N24" s="568"/>
      <c r="O24" s="568"/>
      <c r="P24" s="568"/>
      <c r="Q24" s="568"/>
      <c r="R24" s="568"/>
      <c r="S24" s="568"/>
      <c r="T24" s="568"/>
      <c r="U24" s="568"/>
      <c r="V24" s="568"/>
      <c r="W24" s="568"/>
      <c r="X24" s="568"/>
      <c r="Y24" s="568"/>
      <c r="Z24" s="568"/>
      <c r="AA24" s="568"/>
      <c r="AB24" s="568"/>
      <c r="AC24" s="568"/>
      <c r="AD24" s="568"/>
      <c r="AE24" s="568"/>
      <c r="AF24" s="568"/>
      <c r="AG24" s="568"/>
      <c r="AH24" s="568"/>
      <c r="AI24" s="568"/>
      <c r="AJ24" s="568"/>
      <c r="AK24" s="568"/>
      <c r="AL24" s="568"/>
      <c r="AM24" s="568"/>
      <c r="AN24" s="568"/>
      <c r="AO24" s="568"/>
      <c r="AP24" s="568"/>
      <c r="AQ24" s="568"/>
      <c r="AR24" s="568"/>
      <c r="AS24" s="568"/>
      <c r="AT24" s="568"/>
      <c r="AU24" s="568"/>
      <c r="AV24" s="568"/>
      <c r="AW24" s="569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</row>
    <row r="25" spans="1:202" customFormat="1" ht="38.1" hidden="1" customHeight="1" x14ac:dyDescent="0.25">
      <c r="A25" s="31"/>
      <c r="E25" s="32"/>
      <c r="G25" s="564" t="s">
        <v>40</v>
      </c>
      <c r="H25" s="565"/>
      <c r="I25" s="566"/>
      <c r="K25" s="567" t="s">
        <v>67</v>
      </c>
      <c r="L25" s="568"/>
      <c r="M25" s="568"/>
      <c r="N25" s="568"/>
      <c r="O25" s="568"/>
      <c r="P25" s="568"/>
      <c r="Q25" s="568"/>
      <c r="R25" s="568"/>
      <c r="S25" s="568"/>
      <c r="T25" s="568"/>
      <c r="U25" s="568"/>
      <c r="V25" s="568"/>
      <c r="W25" s="568"/>
      <c r="X25" s="568"/>
      <c r="Y25" s="568"/>
      <c r="Z25" s="568"/>
      <c r="AA25" s="568"/>
      <c r="AB25" s="568"/>
      <c r="AC25" s="568"/>
      <c r="AD25" s="568"/>
      <c r="AE25" s="568"/>
      <c r="AF25" s="568"/>
      <c r="AG25" s="568"/>
      <c r="AH25" s="568"/>
      <c r="AI25" s="568"/>
      <c r="AJ25" s="568"/>
      <c r="AK25" s="568"/>
      <c r="AL25" s="568"/>
      <c r="AM25" s="568"/>
      <c r="AN25" s="568"/>
      <c r="AO25" s="568"/>
      <c r="AP25" s="568"/>
      <c r="AQ25" s="568"/>
      <c r="AR25" s="568"/>
      <c r="AS25" s="568"/>
      <c r="AT25" s="568"/>
      <c r="AU25" s="568"/>
      <c r="AV25" s="568"/>
      <c r="AW25" s="569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</row>
    <row r="26" spans="1:202" s="11" customFormat="1" ht="12.75" customHeight="1" x14ac:dyDescent="0.25">
      <c r="A26" s="17"/>
      <c r="B26" s="17"/>
      <c r="C26" s="13"/>
      <c r="D26" s="13"/>
      <c r="E26" s="18"/>
      <c r="F26"/>
      <c r="G26" s="564" t="s">
        <v>40</v>
      </c>
      <c r="H26" s="565"/>
      <c r="I26" s="566"/>
      <c r="J26" s="32"/>
      <c r="K26" s="567" t="s">
        <v>52</v>
      </c>
      <c r="L26" s="568"/>
      <c r="M26" s="568"/>
      <c r="N26" s="568"/>
      <c r="O26" s="568"/>
      <c r="P26" s="568"/>
      <c r="Q26" s="568"/>
      <c r="R26" s="568"/>
      <c r="S26" s="568"/>
      <c r="T26" s="568"/>
      <c r="U26" s="568"/>
      <c r="V26" s="568"/>
      <c r="W26" s="568"/>
      <c r="X26" s="568"/>
      <c r="Y26" s="568"/>
      <c r="Z26" s="568"/>
      <c r="AA26" s="568"/>
      <c r="AB26" s="568"/>
      <c r="AC26" s="568"/>
      <c r="AD26" s="568"/>
      <c r="AE26" s="568"/>
      <c r="AF26" s="568"/>
      <c r="AG26" s="568"/>
      <c r="AH26" s="568"/>
      <c r="AI26" s="568"/>
      <c r="AJ26" s="568"/>
      <c r="AK26" s="568"/>
      <c r="AL26" s="568"/>
      <c r="AM26" s="568"/>
      <c r="AN26" s="568"/>
      <c r="AO26" s="568"/>
      <c r="AP26" s="568"/>
      <c r="AQ26" s="568"/>
      <c r="AR26" s="568"/>
      <c r="AS26" s="568"/>
      <c r="AT26" s="568"/>
      <c r="AU26" s="568"/>
      <c r="AV26" s="568"/>
      <c r="AW26" s="569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</row>
    <row r="27" spans="1:202" ht="40.5" customHeight="1" x14ac:dyDescent="0.25">
      <c r="A27" s="31"/>
      <c r="B27"/>
      <c r="C27"/>
      <c r="D27"/>
      <c r="E27" s="32"/>
      <c r="F27"/>
      <c r="G27" s="564" t="s">
        <v>41</v>
      </c>
      <c r="H27" s="565"/>
      <c r="I27" s="566"/>
      <c r="J27"/>
      <c r="K27" s="570" t="s">
        <v>501</v>
      </c>
      <c r="L27" s="568"/>
      <c r="M27" s="568"/>
      <c r="N27" s="568"/>
      <c r="O27" s="568"/>
      <c r="P27" s="568"/>
      <c r="Q27" s="568"/>
      <c r="R27" s="568"/>
      <c r="S27" s="568"/>
      <c r="T27" s="568"/>
      <c r="U27" s="568"/>
      <c r="V27" s="568"/>
      <c r="W27" s="568"/>
      <c r="X27" s="568"/>
      <c r="Y27" s="568"/>
      <c r="Z27" s="568"/>
      <c r="AA27" s="568"/>
      <c r="AB27" s="568"/>
      <c r="AC27" s="568"/>
      <c r="AD27" s="568"/>
      <c r="AE27" s="568"/>
      <c r="AF27" s="568"/>
      <c r="AG27" s="568"/>
      <c r="AH27" s="568"/>
      <c r="AI27" s="568"/>
      <c r="AJ27" s="568"/>
      <c r="AK27" s="568"/>
      <c r="AL27" s="568"/>
      <c r="AM27" s="568"/>
      <c r="AN27" s="568"/>
      <c r="AO27" s="568"/>
      <c r="AP27" s="568"/>
      <c r="AQ27" s="568"/>
      <c r="AR27" s="568"/>
      <c r="AS27" s="568"/>
      <c r="AT27" s="568"/>
      <c r="AU27" s="568"/>
      <c r="AV27" s="568"/>
      <c r="AW27" s="569"/>
      <c r="AX27"/>
      <c r="AY27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</row>
    <row r="28" spans="1:202" ht="24.9" customHeight="1" x14ac:dyDescent="0.25">
      <c r="A28" s="31"/>
      <c r="B28"/>
      <c r="C28"/>
      <c r="D28"/>
      <c r="E28" s="32"/>
      <c r="F28"/>
      <c r="G28" s="564" t="s">
        <v>44</v>
      </c>
      <c r="H28" s="565"/>
      <c r="I28" s="566"/>
      <c r="J28"/>
      <c r="K28" s="567" t="s">
        <v>466</v>
      </c>
      <c r="L28" s="568"/>
      <c r="M28" s="568"/>
      <c r="N28" s="568"/>
      <c r="O28" s="568"/>
      <c r="P28" s="568"/>
      <c r="Q28" s="568"/>
      <c r="R28" s="568"/>
      <c r="S28" s="568"/>
      <c r="T28" s="568"/>
      <c r="U28" s="568"/>
      <c r="V28" s="568"/>
      <c r="W28" s="568"/>
      <c r="X28" s="568"/>
      <c r="Y28" s="568"/>
      <c r="Z28" s="568"/>
      <c r="AA28" s="568"/>
      <c r="AB28" s="568"/>
      <c r="AC28" s="568"/>
      <c r="AD28" s="568"/>
      <c r="AE28" s="568"/>
      <c r="AF28" s="568"/>
      <c r="AG28" s="568"/>
      <c r="AH28" s="568"/>
      <c r="AI28" s="568"/>
      <c r="AJ28" s="568"/>
      <c r="AK28" s="568"/>
      <c r="AL28" s="568"/>
      <c r="AM28" s="568"/>
      <c r="AN28" s="568"/>
      <c r="AO28" s="568"/>
      <c r="AP28" s="568"/>
      <c r="AQ28" s="568"/>
      <c r="AR28" s="568"/>
      <c r="AS28" s="568"/>
      <c r="AT28" s="568"/>
      <c r="AU28" s="568"/>
      <c r="AV28" s="568"/>
      <c r="AW28" s="569"/>
      <c r="AX28"/>
      <c r="AY28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</row>
    <row r="29" spans="1:202" ht="12" customHeight="1" x14ac:dyDescent="0.25">
      <c r="A29" s="31"/>
      <c r="B29"/>
      <c r="C29"/>
      <c r="D29"/>
      <c r="E29" s="32"/>
      <c r="F29"/>
      <c r="G29" s="564" t="s">
        <v>45</v>
      </c>
      <c r="H29" s="565"/>
      <c r="I29" s="566"/>
      <c r="J29"/>
      <c r="K29" s="567" t="s">
        <v>499</v>
      </c>
      <c r="L29" s="568"/>
      <c r="M29" s="568"/>
      <c r="N29" s="568"/>
      <c r="O29" s="568"/>
      <c r="P29" s="568"/>
      <c r="Q29" s="568"/>
      <c r="R29" s="568"/>
      <c r="S29" s="568"/>
      <c r="T29" s="568"/>
      <c r="U29" s="568"/>
      <c r="V29" s="568"/>
      <c r="W29" s="568"/>
      <c r="X29" s="568"/>
      <c r="Y29" s="568"/>
      <c r="Z29" s="568"/>
      <c r="AA29" s="568"/>
      <c r="AB29" s="568"/>
      <c r="AC29" s="568"/>
      <c r="AD29" s="568"/>
      <c r="AE29" s="568"/>
      <c r="AF29" s="568"/>
      <c r="AG29" s="568"/>
      <c r="AH29" s="568"/>
      <c r="AI29" s="568"/>
      <c r="AJ29" s="568"/>
      <c r="AK29" s="568"/>
      <c r="AL29" s="568"/>
      <c r="AM29" s="568"/>
      <c r="AN29" s="568"/>
      <c r="AO29" s="568"/>
      <c r="AP29" s="568"/>
      <c r="AQ29" s="568"/>
      <c r="AR29" s="568"/>
      <c r="AS29" s="568"/>
      <c r="AT29" s="568"/>
      <c r="AU29" s="568"/>
      <c r="AV29" s="568"/>
      <c r="AW29" s="569"/>
      <c r="AX29"/>
      <c r="AY29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</row>
    <row r="30" spans="1:202" customFormat="1" ht="25.2" customHeight="1" x14ac:dyDescent="0.25">
      <c r="A30" s="31"/>
      <c r="E30" s="32"/>
      <c r="G30" s="564" t="s">
        <v>53</v>
      </c>
      <c r="H30" s="565"/>
      <c r="I30" s="566"/>
      <c r="K30" s="567" t="s">
        <v>502</v>
      </c>
      <c r="L30" s="568"/>
      <c r="M30" s="568"/>
      <c r="N30" s="568"/>
      <c r="O30" s="568"/>
      <c r="P30" s="568"/>
      <c r="Q30" s="568"/>
      <c r="R30" s="568"/>
      <c r="S30" s="568"/>
      <c r="T30" s="568"/>
      <c r="U30" s="568"/>
      <c r="V30" s="568"/>
      <c r="W30" s="568"/>
      <c r="X30" s="568"/>
      <c r="Y30" s="568"/>
      <c r="Z30" s="568"/>
      <c r="AA30" s="568"/>
      <c r="AB30" s="568"/>
      <c r="AC30" s="568"/>
      <c r="AD30" s="568"/>
      <c r="AE30" s="568"/>
      <c r="AF30" s="568"/>
      <c r="AG30" s="568"/>
      <c r="AH30" s="568"/>
      <c r="AI30" s="568"/>
      <c r="AJ30" s="568"/>
      <c r="AK30" s="568"/>
      <c r="AL30" s="568"/>
      <c r="AM30" s="568"/>
      <c r="AN30" s="568"/>
      <c r="AO30" s="568"/>
      <c r="AP30" s="568"/>
      <c r="AQ30" s="568"/>
      <c r="AR30" s="568"/>
      <c r="AS30" s="568"/>
      <c r="AT30" s="568"/>
      <c r="AU30" s="568"/>
      <c r="AV30" s="568"/>
      <c r="AW30" s="569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</row>
    <row r="31" spans="1:202" s="11" customFormat="1" ht="3.9" customHeight="1" x14ac:dyDescent="0.25">
      <c r="A31" s="17"/>
      <c r="B31" s="17"/>
      <c r="C31" s="13"/>
      <c r="D31" s="13"/>
      <c r="E31" s="18"/>
      <c r="F31"/>
      <c r="G31" s="12"/>
      <c r="H31" s="12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</row>
    <row r="32" spans="1:202" s="11" customFormat="1" ht="3.9" customHeight="1" x14ac:dyDescent="0.25">
      <c r="A32" s="17"/>
      <c r="B32" s="17"/>
      <c r="C32" s="13"/>
      <c r="D32" s="13"/>
      <c r="E32" s="18"/>
      <c r="F32"/>
      <c r="G32" s="12"/>
      <c r="H32" s="1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</row>
    <row r="33" spans="1:202" ht="5.4" customHeight="1" x14ac:dyDescent="0.25">
      <c r="C33" s="7"/>
      <c r="D33" s="7"/>
      <c r="F33" s="10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X33" s="10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</row>
    <row r="34" spans="1:202" ht="3.9" customHeight="1" x14ac:dyDescent="0.25">
      <c r="A34" s="8" t="e">
        <f>MATCH("mtde",E:E,0)</f>
        <v>#N/A</v>
      </c>
      <c r="B34" s="8">
        <f>MATCH("endfim2",E:E,0)</f>
        <v>59</v>
      </c>
      <c r="E34" s="33"/>
      <c r="G34" s="34"/>
      <c r="H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5"/>
      <c r="AC34" s="35"/>
      <c r="AD34" s="35"/>
      <c r="AE34" s="35"/>
      <c r="AF34" s="35"/>
      <c r="AG34" s="35"/>
      <c r="AH34" s="35"/>
      <c r="AI34" s="36"/>
      <c r="AJ34" s="1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</row>
    <row r="35" spans="1:202" ht="9.9" customHeight="1" x14ac:dyDescent="0.25">
      <c r="A35" s="7" t="s">
        <v>3</v>
      </c>
      <c r="B35" s="8" t="s">
        <v>4</v>
      </c>
      <c r="C35" s="7" t="s">
        <v>5</v>
      </c>
      <c r="D35" s="7" t="s">
        <v>6</v>
      </c>
      <c r="E35" s="9" t="s">
        <v>7</v>
      </c>
      <c r="F35" s="37"/>
      <c r="G35" s="37"/>
      <c r="H35" s="37"/>
      <c r="I35" s="37"/>
      <c r="J35" s="37"/>
      <c r="K35" s="37"/>
      <c r="L35" s="37"/>
      <c r="M35" s="37"/>
      <c r="N35" s="37"/>
      <c r="O35" s="37"/>
      <c r="P35" s="37"/>
      <c r="Q35" s="37"/>
      <c r="R35" s="37"/>
      <c r="S35" s="37"/>
      <c r="T35" s="37"/>
      <c r="U35" s="37"/>
      <c r="V35" s="37"/>
      <c r="W35" s="37"/>
      <c r="X35" s="37"/>
      <c r="Y35" s="37"/>
      <c r="Z35" s="37"/>
      <c r="AA35" s="37"/>
      <c r="AB35" s="37"/>
      <c r="AC35" s="37"/>
      <c r="AD35" s="37"/>
      <c r="AE35" s="37"/>
      <c r="AF35" s="37"/>
      <c r="AG35" s="37"/>
      <c r="AH35" s="37"/>
      <c r="AI35" s="37"/>
      <c r="AJ35" s="37"/>
      <c r="AK35" s="37"/>
      <c r="AL35" s="37"/>
      <c r="AM35" s="37"/>
      <c r="AN35" s="37"/>
      <c r="AO35" s="11"/>
      <c r="AP35" s="610" t="s">
        <v>8</v>
      </c>
      <c r="AQ35" s="611"/>
      <c r="AR35" s="611"/>
      <c r="AS35" s="611"/>
      <c r="AT35" s="611"/>
      <c r="AU35" s="611"/>
      <c r="AV35" s="611"/>
      <c r="AW35" s="612"/>
      <c r="AX35" s="43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</row>
    <row r="36" spans="1:202" ht="9.9" customHeight="1" x14ac:dyDescent="0.25">
      <c r="B36" s="8">
        <f>MATCH(MAX(C38:C191),C38:C191,0)+5</f>
        <v>31</v>
      </c>
      <c r="C36" s="8" t="e">
        <f>MATCH("D",D38:D191,0)+5</f>
        <v>#N/A</v>
      </c>
      <c r="D36" s="8" t="e">
        <f>MAX(C38:C0)</f>
        <v>#NAME?</v>
      </c>
      <c r="E36" s="38"/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  <c r="AF36" s="39"/>
      <c r="AG36" s="39"/>
      <c r="AH36" s="39"/>
      <c r="AI36" s="39"/>
      <c r="AJ36" s="39"/>
      <c r="AK36" s="39"/>
      <c r="AL36" s="39"/>
      <c r="AM36" s="39"/>
      <c r="AN36" s="39"/>
      <c r="AO36" s="40"/>
      <c r="AP36" s="614" t="str">
        <f>IF(P_Ini="","#PÚBLICO","#EXTERNO.CONFIDENCIAL")</f>
        <v>#PÚBLICO</v>
      </c>
      <c r="AQ36" s="615"/>
      <c r="AR36" s="615"/>
      <c r="AS36" s="615"/>
      <c r="AT36" s="615"/>
      <c r="AU36" s="615"/>
      <c r="AV36" s="615"/>
      <c r="AW36" s="616"/>
      <c r="AX36" s="45"/>
      <c r="AY36" s="5"/>
      <c r="AZ36" s="5"/>
      <c r="BA36" s="102">
        <f>COUNTBLANK(AB36:AN36)</f>
        <v>13</v>
      </c>
      <c r="BB36" s="5" t="str">
        <f>TEXT(AB36,"0000")&amp;"."&amp;TEXT(AD36,"0000")&amp;"."&amp;TEXT(AF36,"000000000")&amp;"."&amp;TEXT(AJ36,"0000")&amp;"."&amp;TEXT(AL36,"00")&amp;"."&amp;TEXT(AM36,"00")&amp;"."&amp;TEXT(AN36,"00")</f>
        <v>0000.0000.000000000.0000.00.00.00</v>
      </c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59"/>
      <c r="BT36" s="559"/>
      <c r="BU36" s="559"/>
      <c r="BV36" s="559"/>
      <c r="BW36" s="559"/>
      <c r="BX36" s="559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</row>
    <row r="37" spans="1:202" ht="3.9" customHeight="1" x14ac:dyDescent="0.25"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36"/>
      <c r="T37" s="36"/>
      <c r="U37" s="36"/>
      <c r="V37" s="36"/>
      <c r="W37" s="36"/>
      <c r="X37" s="36"/>
      <c r="Y37" s="36"/>
      <c r="Z37" s="36"/>
      <c r="AA37" s="36"/>
      <c r="AB37" s="36"/>
      <c r="AC37" s="36"/>
      <c r="AD37" s="36"/>
      <c r="AE37" s="36"/>
      <c r="AF37" s="36"/>
      <c r="AG37" s="36"/>
      <c r="AH37" s="36"/>
      <c r="AI37" s="36"/>
      <c r="AJ37" s="42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59"/>
      <c r="BT37" s="559"/>
      <c r="BU37" s="559"/>
      <c r="BV37" s="559"/>
      <c r="BW37" s="559"/>
      <c r="BX37" s="559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</row>
    <row r="38" spans="1:202" ht="12" customHeight="1" x14ac:dyDescent="0.25"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613" t="s">
        <v>285</v>
      </c>
      <c r="V38" s="613"/>
      <c r="W38" s="613"/>
      <c r="X38" s="613"/>
      <c r="Y38" s="613"/>
      <c r="Z38" s="613"/>
      <c r="AA38" s="613"/>
      <c r="AB38" s="613"/>
      <c r="AC38" s="613"/>
      <c r="AD38" s="613"/>
      <c r="AE38" s="613"/>
      <c r="AF38" s="613"/>
      <c r="AG38" s="613"/>
      <c r="AH38" s="613"/>
      <c r="AI38" s="613"/>
      <c r="AJ38" s="613"/>
      <c r="AK38" s="613"/>
      <c r="AL38" s="613"/>
      <c r="AM38" s="613"/>
      <c r="AN38" s="613"/>
      <c r="AO38" s="613"/>
      <c r="AP38" s="613"/>
      <c r="AQ38" s="613"/>
      <c r="AR38" s="613"/>
      <c r="AS38" s="613"/>
      <c r="AT38" s="613"/>
      <c r="AU38" s="613"/>
      <c r="AV38" s="613"/>
      <c r="AW38" s="43"/>
      <c r="AX38" s="43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59"/>
      <c r="BT38" s="559"/>
      <c r="BU38" s="559"/>
      <c r="BV38" s="559"/>
      <c r="BW38" s="559"/>
      <c r="BX38" s="559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</row>
    <row r="39" spans="1:202" ht="9.9" customHeight="1" x14ac:dyDescent="0.25">
      <c r="F39" s="44"/>
      <c r="G39" s="44"/>
      <c r="H39" s="44"/>
      <c r="I39" s="44"/>
      <c r="J39" s="44"/>
      <c r="K39" s="44"/>
      <c r="L39" s="44"/>
      <c r="M39" s="44"/>
      <c r="N39" s="44"/>
      <c r="O39" s="44"/>
      <c r="P39" s="44"/>
      <c r="Q39" s="44"/>
      <c r="R39" s="44"/>
      <c r="S39" s="20"/>
      <c r="T39" s="20"/>
      <c r="U39" s="618" t="s">
        <v>467</v>
      </c>
      <c r="V39" s="618"/>
      <c r="W39" s="618"/>
      <c r="X39" s="618"/>
      <c r="Y39" s="618"/>
      <c r="Z39" s="618"/>
      <c r="AA39" s="618"/>
      <c r="AB39" s="618"/>
      <c r="AC39" s="618"/>
      <c r="AD39" s="618"/>
      <c r="AE39" s="618"/>
      <c r="AF39" s="618"/>
      <c r="AG39" s="618"/>
      <c r="AH39" s="618"/>
      <c r="AI39" s="618"/>
      <c r="AJ39" s="618"/>
      <c r="AK39" s="618"/>
      <c r="AL39" s="618"/>
      <c r="AM39" s="618"/>
      <c r="AN39" s="618"/>
      <c r="AO39" s="618"/>
      <c r="AP39" s="618"/>
      <c r="AQ39" s="618"/>
      <c r="AR39" s="618"/>
      <c r="AS39" s="618"/>
      <c r="AT39" s="618"/>
      <c r="AU39" s="618"/>
      <c r="AV39" s="618"/>
      <c r="AW39" s="45"/>
      <c r="AX39" s="4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59"/>
      <c r="BT39" s="559"/>
      <c r="BU39" s="559"/>
      <c r="BV39" s="559"/>
      <c r="BW39" s="559"/>
      <c r="BX39" s="559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</row>
    <row r="40" spans="1:202" ht="3.9" customHeight="1" x14ac:dyDescent="0.25">
      <c r="G40" s="46"/>
      <c r="H40" s="46"/>
      <c r="I40" s="46"/>
      <c r="J40" s="46"/>
      <c r="K40" s="46"/>
      <c r="L40" s="46"/>
      <c r="M40" s="46"/>
      <c r="N40" s="46"/>
      <c r="O40" s="46"/>
      <c r="P40" s="46"/>
      <c r="Q40" s="46"/>
      <c r="R40" s="46"/>
      <c r="S40" s="46"/>
      <c r="T40" s="46"/>
      <c r="U40" s="46"/>
      <c r="V40" s="46"/>
      <c r="W40" s="46"/>
      <c r="X40" s="46"/>
      <c r="Y40" s="46"/>
      <c r="Z40" s="46"/>
      <c r="AA40" s="46"/>
      <c r="AB40" s="46"/>
      <c r="AC40" s="46"/>
      <c r="AD40" s="46"/>
      <c r="AE40" s="46"/>
      <c r="AF40" s="46"/>
      <c r="AG40" s="46"/>
      <c r="AH40" s="46"/>
      <c r="AI40" s="46"/>
      <c r="AJ40" s="44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</row>
    <row r="41" spans="1:202" ht="12" customHeight="1" thickBot="1" x14ac:dyDescent="0.3">
      <c r="F41" s="47"/>
      <c r="G41" s="48" t="s">
        <v>279</v>
      </c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7"/>
      <c r="AN41" s="47"/>
      <c r="AO41" s="47"/>
      <c r="AP41" s="47"/>
      <c r="AQ41" s="47"/>
      <c r="AR41" s="47"/>
      <c r="AS41" s="47"/>
      <c r="AT41" s="47"/>
      <c r="AU41" s="47"/>
      <c r="AV41" s="47"/>
      <c r="AW41" s="47"/>
      <c r="AX41" s="49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</row>
    <row r="42" spans="1:202" ht="3.9" customHeight="1" x14ac:dyDescent="0.25">
      <c r="E42" s="9" t="s">
        <v>9</v>
      </c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2"/>
      <c r="AH42" s="22"/>
      <c r="AI42" s="22"/>
      <c r="AJ42" s="22"/>
      <c r="AK42" s="44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</row>
    <row r="43" spans="1:202" ht="11.1" customHeight="1" x14ac:dyDescent="0.25">
      <c r="G43" s="315" t="s">
        <v>10</v>
      </c>
      <c r="H43" s="316"/>
      <c r="I43" s="316"/>
      <c r="J43" s="316"/>
      <c r="K43" s="316"/>
      <c r="L43" s="316"/>
      <c r="M43" s="316"/>
      <c r="N43" s="316"/>
      <c r="O43" s="316"/>
      <c r="P43" s="316"/>
      <c r="Q43" s="316"/>
      <c r="R43" s="316"/>
      <c r="S43" s="316"/>
      <c r="T43" s="316"/>
      <c r="U43" s="316"/>
      <c r="V43" s="316"/>
      <c r="W43" s="316"/>
      <c r="X43" s="317"/>
      <c r="Y43" s="315" t="s">
        <v>69</v>
      </c>
      <c r="Z43" s="316"/>
      <c r="AA43" s="316"/>
      <c r="AB43" s="316"/>
      <c r="AC43" s="316"/>
      <c r="AD43" s="316"/>
      <c r="AE43" s="316"/>
      <c r="AF43" s="316"/>
      <c r="AG43" s="316"/>
      <c r="AH43" s="316"/>
      <c r="AI43" s="316"/>
      <c r="AJ43" s="317"/>
      <c r="AK43" s="315" t="s">
        <v>477</v>
      </c>
      <c r="AL43" s="316"/>
      <c r="AM43" s="316"/>
      <c r="AN43" s="316"/>
      <c r="AO43" s="316"/>
      <c r="AP43" s="317"/>
      <c r="AQ43" s="315" t="s">
        <v>11</v>
      </c>
      <c r="AR43" s="316"/>
      <c r="AS43" s="316"/>
      <c r="AT43" s="316"/>
      <c r="AU43" s="316"/>
      <c r="AV43" s="316"/>
      <c r="AW43" s="317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</row>
    <row r="44" spans="1:202" ht="11.1" customHeight="1" x14ac:dyDescent="0.25">
      <c r="G44" s="449"/>
      <c r="H44" s="449"/>
      <c r="I44" s="449"/>
      <c r="J44" s="449"/>
      <c r="K44" s="449"/>
      <c r="L44" s="449"/>
      <c r="M44" s="449"/>
      <c r="N44" s="449"/>
      <c r="O44" s="449"/>
      <c r="P44" s="449"/>
      <c r="Q44" s="449"/>
      <c r="R44" s="449"/>
      <c r="S44" s="449"/>
      <c r="T44" s="449"/>
      <c r="U44" s="449"/>
      <c r="V44" s="449"/>
      <c r="W44" s="449"/>
      <c r="X44" s="449"/>
      <c r="Y44" s="446"/>
      <c r="Z44" s="447"/>
      <c r="AA44" s="447"/>
      <c r="AB44" s="447"/>
      <c r="AC44" s="447"/>
      <c r="AD44" s="447"/>
      <c r="AE44" s="447"/>
      <c r="AF44" s="447"/>
      <c r="AG44" s="447"/>
      <c r="AH44" s="447"/>
      <c r="AI44" s="447"/>
      <c r="AJ44" s="448"/>
      <c r="AK44" s="530"/>
      <c r="AL44" s="531"/>
      <c r="AM44" s="531"/>
      <c r="AN44" s="531"/>
      <c r="AO44" s="531"/>
      <c r="AP44" s="532"/>
      <c r="AQ44" s="528"/>
      <c r="AR44" s="529"/>
      <c r="AS44" s="444"/>
      <c r="AT44" s="444"/>
      <c r="AU44" s="444"/>
      <c r="AV44" s="444"/>
      <c r="AW44" s="44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</row>
    <row r="45" spans="1:202" ht="3.9" customHeight="1" x14ac:dyDescent="0.25">
      <c r="G45" s="50"/>
      <c r="H45" s="50"/>
      <c r="I45" s="50"/>
      <c r="J45" s="50"/>
      <c r="K45" s="50"/>
      <c r="L45" s="50"/>
      <c r="M45" s="50"/>
      <c r="N45" s="50"/>
      <c r="O45" s="50"/>
      <c r="P45" s="50"/>
      <c r="Q45" s="50"/>
      <c r="R45" s="50"/>
      <c r="S45" s="50"/>
      <c r="T45" s="50"/>
      <c r="U45" s="50"/>
      <c r="V45" s="50"/>
      <c r="W45" s="50"/>
      <c r="X45" s="50"/>
      <c r="AB45" s="50"/>
      <c r="AC45" s="50"/>
      <c r="AD45" s="50"/>
      <c r="AE45" s="50"/>
      <c r="AF45" s="50"/>
      <c r="AG45" s="50"/>
      <c r="AH45" s="50"/>
      <c r="AI45" s="50"/>
      <c r="AJ45" s="50"/>
      <c r="AK45" s="50"/>
      <c r="AL45" s="51"/>
      <c r="AM45" s="51"/>
      <c r="AN45" s="52"/>
      <c r="AO45" s="52"/>
      <c r="AP45" s="52"/>
      <c r="AQ45" s="52"/>
      <c r="AR45" s="52"/>
      <c r="AS45" s="52"/>
      <c r="AT45" s="52"/>
      <c r="AU45" s="52"/>
      <c r="AV45" s="52"/>
      <c r="AW45" s="52"/>
      <c r="AX45" s="11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</row>
    <row r="46" spans="1:202" ht="10.5" customHeight="1" x14ac:dyDescent="0.25">
      <c r="G46" s="315" t="s">
        <v>331</v>
      </c>
      <c r="H46" s="316"/>
      <c r="I46" s="316"/>
      <c r="J46" s="316"/>
      <c r="K46" s="316"/>
      <c r="L46" s="316"/>
      <c r="M46" s="316"/>
      <c r="N46" s="316"/>
      <c r="O46" s="316"/>
      <c r="P46" s="317"/>
      <c r="Q46" s="315" t="s">
        <v>213</v>
      </c>
      <c r="R46" s="316"/>
      <c r="S46" s="316"/>
      <c r="T46" s="316"/>
      <c r="U46" s="316"/>
      <c r="V46" s="316"/>
      <c r="W46" s="316"/>
      <c r="X46" s="316"/>
      <c r="Y46" s="316"/>
      <c r="Z46" s="316"/>
      <c r="AA46" s="317"/>
      <c r="AB46" s="315" t="s">
        <v>214</v>
      </c>
      <c r="AC46" s="316"/>
      <c r="AD46" s="316"/>
      <c r="AE46" s="316"/>
      <c r="AF46" s="316"/>
      <c r="AG46" s="316"/>
      <c r="AH46" s="317"/>
      <c r="AI46" s="209" t="s">
        <v>12</v>
      </c>
      <c r="AJ46" s="211"/>
      <c r="AK46" s="315" t="s">
        <v>215</v>
      </c>
      <c r="AL46" s="316"/>
      <c r="AM46" s="316"/>
      <c r="AN46" s="316"/>
      <c r="AO46" s="316"/>
      <c r="AP46" s="317"/>
      <c r="AQ46" s="315" t="s">
        <v>216</v>
      </c>
      <c r="AR46" s="316"/>
      <c r="AS46" s="316"/>
      <c r="AT46" s="316"/>
      <c r="AU46" s="316"/>
      <c r="AV46" s="316"/>
      <c r="AW46" s="317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</row>
    <row r="47" spans="1:202" ht="11.1" customHeight="1" x14ac:dyDescent="0.25">
      <c r="G47" s="449"/>
      <c r="H47" s="449"/>
      <c r="I47" s="449"/>
      <c r="J47" s="449"/>
      <c r="K47" s="449"/>
      <c r="L47" s="449"/>
      <c r="M47" s="449"/>
      <c r="N47" s="449"/>
      <c r="O47" s="449"/>
      <c r="P47" s="449"/>
      <c r="Q47" s="446"/>
      <c r="R47" s="447"/>
      <c r="S47" s="447"/>
      <c r="T47" s="447"/>
      <c r="U47" s="447"/>
      <c r="V47" s="447"/>
      <c r="W47" s="447"/>
      <c r="X47" s="447"/>
      <c r="Y47" s="447"/>
      <c r="Z47" s="447"/>
      <c r="AA47" s="448"/>
      <c r="AB47" s="449"/>
      <c r="AC47" s="449"/>
      <c r="AD47" s="449"/>
      <c r="AE47" s="449"/>
      <c r="AF47" s="449"/>
      <c r="AG47" s="449"/>
      <c r="AH47" s="450"/>
      <c r="AI47" s="533"/>
      <c r="AJ47" s="534"/>
      <c r="AK47" s="506"/>
      <c r="AL47" s="507"/>
      <c r="AM47" s="507"/>
      <c r="AN47" s="507"/>
      <c r="AO47" s="507"/>
      <c r="AP47" s="507"/>
      <c r="AQ47" s="468"/>
      <c r="AR47" s="468"/>
      <c r="AS47" s="444"/>
      <c r="AT47" s="444"/>
      <c r="AU47" s="444"/>
      <c r="AV47" s="444"/>
      <c r="AW47" s="44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</row>
    <row r="48" spans="1:202" ht="3.9" customHeight="1" x14ac:dyDescent="0.25">
      <c r="G48" s="50"/>
      <c r="H48" s="50"/>
      <c r="I48" s="50"/>
      <c r="J48" s="50"/>
      <c r="K48" s="50"/>
      <c r="L48" s="50"/>
      <c r="M48" s="50"/>
      <c r="N48" s="50"/>
      <c r="O48" s="50"/>
      <c r="P48" s="50"/>
      <c r="Q48" s="50"/>
      <c r="R48" s="50"/>
      <c r="S48" s="50"/>
      <c r="T48" s="50"/>
      <c r="U48" s="50"/>
      <c r="V48" s="50"/>
      <c r="W48" s="50"/>
      <c r="X48" s="50"/>
      <c r="Y48" s="50"/>
      <c r="Z48" s="50"/>
      <c r="AA48" s="50"/>
      <c r="AB48" s="50"/>
      <c r="AC48" s="50"/>
      <c r="AD48" s="50"/>
      <c r="AE48" s="50"/>
      <c r="AF48" s="50"/>
      <c r="AG48" s="50"/>
      <c r="AH48" s="50"/>
      <c r="AI48" s="50"/>
      <c r="AJ48" s="50"/>
      <c r="AK48" s="51"/>
      <c r="AL48" s="52"/>
      <c r="AM48" s="52"/>
      <c r="AN48" s="52"/>
      <c r="AO48" s="52"/>
      <c r="AP48" s="52"/>
      <c r="AQ48" s="52"/>
      <c r="AR48" s="52"/>
      <c r="AS48" s="52"/>
      <c r="AT48" s="52"/>
      <c r="AU48" s="52"/>
      <c r="AV48" s="52"/>
      <c r="AW48" s="52"/>
      <c r="AX48" s="11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</row>
    <row r="49" spans="1:202" ht="11.1" customHeight="1" x14ac:dyDescent="0.25">
      <c r="G49" s="315" t="s">
        <v>332</v>
      </c>
      <c r="H49" s="316"/>
      <c r="I49" s="316"/>
      <c r="J49" s="316"/>
      <c r="K49" s="316"/>
      <c r="L49" s="316"/>
      <c r="M49" s="316"/>
      <c r="N49" s="316"/>
      <c r="O49" s="316"/>
      <c r="P49" s="317"/>
      <c r="Q49" s="315" t="s">
        <v>217</v>
      </c>
      <c r="R49" s="316"/>
      <c r="S49" s="316"/>
      <c r="T49" s="316"/>
      <c r="U49" s="316"/>
      <c r="V49" s="316"/>
      <c r="W49" s="316"/>
      <c r="X49" s="316"/>
      <c r="Y49" s="316"/>
      <c r="Z49" s="316"/>
      <c r="AA49" s="317"/>
      <c r="AB49" s="315" t="s">
        <v>218</v>
      </c>
      <c r="AC49" s="316"/>
      <c r="AD49" s="316"/>
      <c r="AE49" s="316"/>
      <c r="AF49" s="316"/>
      <c r="AG49" s="316"/>
      <c r="AH49" s="317"/>
      <c r="AI49" s="209" t="s">
        <v>12</v>
      </c>
      <c r="AJ49" s="211"/>
      <c r="AK49" s="315" t="s">
        <v>219</v>
      </c>
      <c r="AL49" s="316"/>
      <c r="AM49" s="316"/>
      <c r="AN49" s="316"/>
      <c r="AO49" s="316"/>
      <c r="AP49" s="317"/>
      <c r="AQ49" s="315" t="s">
        <v>220</v>
      </c>
      <c r="AR49" s="316"/>
      <c r="AS49" s="316"/>
      <c r="AT49" s="316"/>
      <c r="AU49" s="316"/>
      <c r="AV49" s="316"/>
      <c r="AW49" s="317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</row>
    <row r="50" spans="1:202" ht="11.1" customHeight="1" x14ac:dyDescent="0.25">
      <c r="G50" s="449"/>
      <c r="H50" s="449"/>
      <c r="I50" s="449"/>
      <c r="J50" s="449"/>
      <c r="K50" s="449"/>
      <c r="L50" s="449"/>
      <c r="M50" s="449"/>
      <c r="N50" s="449"/>
      <c r="O50" s="449"/>
      <c r="P50" s="449"/>
      <c r="Q50" s="446"/>
      <c r="R50" s="447"/>
      <c r="S50" s="447"/>
      <c r="T50" s="447"/>
      <c r="U50" s="447"/>
      <c r="V50" s="447"/>
      <c r="W50" s="447"/>
      <c r="X50" s="447"/>
      <c r="Y50" s="447"/>
      <c r="Z50" s="447"/>
      <c r="AA50" s="448"/>
      <c r="AB50" s="449"/>
      <c r="AC50" s="449"/>
      <c r="AD50" s="449"/>
      <c r="AE50" s="449"/>
      <c r="AF50" s="449"/>
      <c r="AG50" s="449"/>
      <c r="AH50" s="450"/>
      <c r="AI50" s="533"/>
      <c r="AJ50" s="534"/>
      <c r="AK50" s="506"/>
      <c r="AL50" s="507"/>
      <c r="AM50" s="507"/>
      <c r="AN50" s="507"/>
      <c r="AO50" s="507"/>
      <c r="AP50" s="507"/>
      <c r="AQ50" s="468"/>
      <c r="AR50" s="468"/>
      <c r="AS50" s="444"/>
      <c r="AT50" s="444"/>
      <c r="AU50" s="444"/>
      <c r="AV50" s="444"/>
      <c r="AW50" s="44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</row>
    <row r="51" spans="1:202" ht="3.9" customHeight="1" x14ac:dyDescent="0.25">
      <c r="G51" s="50"/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50"/>
      <c r="T51" s="50"/>
      <c r="U51" s="50"/>
      <c r="V51" s="50"/>
      <c r="W51" s="50"/>
      <c r="X51" s="50"/>
      <c r="Y51" s="50"/>
      <c r="Z51" s="50"/>
      <c r="AA51" s="50"/>
      <c r="AB51" s="50"/>
      <c r="AC51" s="50"/>
      <c r="AD51" s="50"/>
      <c r="AE51" s="50"/>
      <c r="AF51" s="50"/>
      <c r="AG51" s="50"/>
      <c r="AH51" s="50"/>
      <c r="AI51" s="50"/>
      <c r="AJ51" s="50"/>
      <c r="AK51" s="51"/>
      <c r="AL51" s="52"/>
      <c r="AM51" s="52"/>
      <c r="AN51" s="52"/>
      <c r="AO51" s="52"/>
      <c r="AP51" s="52"/>
      <c r="AQ51" s="52"/>
      <c r="AR51" s="52"/>
      <c r="AS51" s="52"/>
      <c r="AT51" s="52"/>
      <c r="AU51" s="52"/>
      <c r="AV51" s="52"/>
      <c r="AW51" s="52"/>
      <c r="AX51" s="11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105" t="s">
        <v>276</v>
      </c>
      <c r="BW51" s="105"/>
      <c r="BX51" s="105"/>
      <c r="BY51" s="105"/>
      <c r="BZ51" s="105"/>
      <c r="CA51" s="105"/>
      <c r="CB51" s="105"/>
      <c r="CC51" s="105"/>
      <c r="CD51" s="105"/>
      <c r="CE51" s="105"/>
      <c r="CF51" s="105"/>
      <c r="CG51" s="105"/>
      <c r="CH51" s="10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</row>
    <row r="52" spans="1:202" ht="11.1" customHeight="1" x14ac:dyDescent="0.25">
      <c r="G52" s="226" t="s">
        <v>27</v>
      </c>
      <c r="H52" s="469"/>
      <c r="I52" s="469"/>
      <c r="J52" s="469"/>
      <c r="K52" s="469"/>
      <c r="L52" s="469"/>
      <c r="M52" s="469"/>
      <c r="N52" s="469"/>
      <c r="O52" s="469"/>
      <c r="P52" s="469"/>
      <c r="Q52" s="469"/>
      <c r="R52" s="469"/>
      <c r="S52" s="469"/>
      <c r="T52" s="469"/>
      <c r="U52" s="469"/>
      <c r="V52" s="469"/>
      <c r="W52" s="469"/>
      <c r="X52" s="469"/>
      <c r="Y52" s="469"/>
      <c r="Z52" s="469"/>
      <c r="AA52" s="469"/>
      <c r="AB52" s="469"/>
      <c r="AC52" s="469"/>
      <c r="AD52" s="469"/>
      <c r="AE52" s="469"/>
      <c r="AF52" s="469"/>
      <c r="AG52" s="469"/>
      <c r="AH52" s="469"/>
      <c r="AI52" s="469"/>
      <c r="AJ52" s="469"/>
      <c r="AK52" s="469"/>
      <c r="AL52" s="469"/>
      <c r="AM52" s="469"/>
      <c r="AN52" s="469"/>
      <c r="AO52" s="469"/>
      <c r="AP52" s="469"/>
      <c r="AQ52" s="469"/>
      <c r="AR52" s="469"/>
      <c r="AS52" s="469"/>
      <c r="AT52" s="469"/>
      <c r="AU52" s="469"/>
      <c r="AV52" s="469"/>
      <c r="AW52" s="470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105"/>
      <c r="BW52" s="105"/>
      <c r="BX52" s="105"/>
      <c r="BY52" s="105"/>
      <c r="BZ52" s="105"/>
      <c r="CA52" s="105"/>
      <c r="CB52" s="105"/>
      <c r="CC52" s="105"/>
      <c r="CD52" s="105"/>
      <c r="CE52" s="105"/>
      <c r="CF52" s="105"/>
      <c r="CG52" s="105"/>
      <c r="CH52" s="10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</row>
    <row r="53" spans="1:202" ht="11.1" customHeight="1" x14ac:dyDescent="0.25">
      <c r="G53" s="511" t="s">
        <v>60</v>
      </c>
      <c r="H53" s="512"/>
      <c r="I53" s="512"/>
      <c r="J53" s="512"/>
      <c r="K53" s="512"/>
      <c r="L53" s="512"/>
      <c r="M53" s="512"/>
      <c r="N53" s="512"/>
      <c r="O53" s="512"/>
      <c r="P53" s="512"/>
      <c r="Q53" s="512"/>
      <c r="R53" s="512"/>
      <c r="S53" s="512"/>
      <c r="T53" s="512"/>
      <c r="U53" s="512"/>
      <c r="V53" s="512"/>
      <c r="W53" s="512"/>
      <c r="X53" s="512"/>
      <c r="Y53" s="512"/>
      <c r="Z53" s="512"/>
      <c r="AA53" s="512"/>
      <c r="AB53" s="512"/>
      <c r="AC53" s="512"/>
      <c r="AD53" s="512"/>
      <c r="AE53" s="512"/>
      <c r="AF53" s="512"/>
      <c r="AG53" s="512"/>
      <c r="AH53" s="512"/>
      <c r="AI53" s="513"/>
      <c r="AJ53" s="511" t="s">
        <v>13</v>
      </c>
      <c r="AK53" s="512"/>
      <c r="AL53" s="512"/>
      <c r="AM53" s="512"/>
      <c r="AN53" s="512"/>
      <c r="AO53" s="512"/>
      <c r="AP53" s="512"/>
      <c r="AQ53" s="512"/>
      <c r="AR53" s="512"/>
      <c r="AS53" s="512"/>
      <c r="AT53" s="512"/>
      <c r="AU53" s="512"/>
      <c r="AV53" s="512"/>
      <c r="AW53" s="513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105"/>
      <c r="BW53" s="105"/>
      <c r="BX53" s="105"/>
      <c r="BY53" s="105"/>
      <c r="BZ53" s="105"/>
      <c r="CA53" s="105"/>
      <c r="CB53" s="105"/>
      <c r="CC53" s="105"/>
      <c r="CD53" s="105"/>
      <c r="CE53" s="105"/>
      <c r="CF53" s="105"/>
      <c r="CG53" s="105"/>
      <c r="CH53" s="10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</row>
    <row r="54" spans="1:202" ht="11.1" customHeight="1" x14ac:dyDescent="0.25">
      <c r="G54" s="449"/>
      <c r="H54" s="449"/>
      <c r="I54" s="449"/>
      <c r="J54" s="449"/>
      <c r="K54" s="449"/>
      <c r="L54" s="449"/>
      <c r="M54" s="449"/>
      <c r="N54" s="449"/>
      <c r="O54" s="449"/>
      <c r="P54" s="449"/>
      <c r="Q54" s="449"/>
      <c r="R54" s="449"/>
      <c r="S54" s="449"/>
      <c r="T54" s="449"/>
      <c r="U54" s="449"/>
      <c r="V54" s="449"/>
      <c r="W54" s="449"/>
      <c r="X54" s="449"/>
      <c r="Y54" s="449"/>
      <c r="Z54" s="449"/>
      <c r="AA54" s="449"/>
      <c r="AB54" s="449"/>
      <c r="AC54" s="449"/>
      <c r="AD54" s="449"/>
      <c r="AE54" s="449"/>
      <c r="AF54" s="449"/>
      <c r="AG54" s="449"/>
      <c r="AH54" s="449"/>
      <c r="AI54" s="449"/>
      <c r="AJ54" s="449"/>
      <c r="AK54" s="449"/>
      <c r="AL54" s="449"/>
      <c r="AM54" s="449"/>
      <c r="AN54" s="449"/>
      <c r="AO54" s="449"/>
      <c r="AP54" s="449"/>
      <c r="AQ54" s="449"/>
      <c r="AR54" s="449"/>
      <c r="AS54" s="449"/>
      <c r="AT54" s="449"/>
      <c r="AU54" s="449"/>
      <c r="AV54" s="449"/>
      <c r="AW54" s="449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105"/>
      <c r="BW54" s="105"/>
      <c r="BX54" s="105"/>
      <c r="BY54" s="105"/>
      <c r="BZ54" s="105"/>
      <c r="CA54" s="105"/>
      <c r="CB54" s="105"/>
      <c r="CC54" s="105"/>
      <c r="CD54" s="105"/>
      <c r="CE54" s="105"/>
      <c r="CF54" s="105"/>
      <c r="CG54" s="105"/>
      <c r="CH54" s="10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</row>
    <row r="55" spans="1:202" ht="11.1" customHeight="1" x14ac:dyDescent="0.25">
      <c r="G55" s="511" t="s">
        <v>14</v>
      </c>
      <c r="H55" s="512"/>
      <c r="I55" s="512"/>
      <c r="J55" s="512"/>
      <c r="K55" s="512"/>
      <c r="L55" s="512"/>
      <c r="M55" s="512"/>
      <c r="N55" s="512"/>
      <c r="O55" s="512"/>
      <c r="P55" s="512"/>
      <c r="Q55" s="512"/>
      <c r="R55" s="512"/>
      <c r="S55" s="512"/>
      <c r="T55" s="512"/>
      <c r="U55" s="513"/>
      <c r="V55" s="334" t="s">
        <v>15</v>
      </c>
      <c r="W55" s="237"/>
      <c r="X55" s="237"/>
      <c r="Y55" s="237"/>
      <c r="Z55" s="238"/>
      <c r="AA55" s="334" t="s">
        <v>16</v>
      </c>
      <c r="AB55" s="237"/>
      <c r="AC55" s="237"/>
      <c r="AD55" s="237"/>
      <c r="AE55" s="237"/>
      <c r="AF55" s="237"/>
      <c r="AG55" s="237"/>
      <c r="AH55" s="237"/>
      <c r="AI55" s="237"/>
      <c r="AJ55" s="237"/>
      <c r="AK55" s="237"/>
      <c r="AL55" s="237"/>
      <c r="AM55" s="237"/>
      <c r="AN55" s="237"/>
      <c r="AO55" s="237"/>
      <c r="AP55" s="237"/>
      <c r="AQ55" s="237"/>
      <c r="AR55" s="237"/>
      <c r="AS55" s="237"/>
      <c r="AT55" s="237"/>
      <c r="AU55" s="238"/>
      <c r="AV55" s="209" t="s">
        <v>12</v>
      </c>
      <c r="AW55" s="211"/>
      <c r="AX55" s="11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105"/>
      <c r="BW55" s="105"/>
      <c r="BX55" s="105"/>
      <c r="BY55" s="105"/>
      <c r="BZ55" s="105"/>
      <c r="CA55" s="105"/>
      <c r="CB55" s="105"/>
      <c r="CC55" s="105"/>
      <c r="CD55" s="105"/>
      <c r="CE55" s="105"/>
      <c r="CF55" s="105"/>
      <c r="CG55" s="105"/>
      <c r="CH55" s="105"/>
      <c r="CI55" s="5"/>
      <c r="CJ55" s="5"/>
      <c r="CK55" s="5"/>
      <c r="CL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</row>
    <row r="56" spans="1:202" ht="11.1" customHeight="1" x14ac:dyDescent="0.25">
      <c r="G56" s="449"/>
      <c r="H56" s="449"/>
      <c r="I56" s="449"/>
      <c r="J56" s="449"/>
      <c r="K56" s="449"/>
      <c r="L56" s="449"/>
      <c r="M56" s="449"/>
      <c r="N56" s="449"/>
      <c r="O56" s="449"/>
      <c r="P56" s="449"/>
      <c r="Q56" s="449"/>
      <c r="R56" s="449"/>
      <c r="S56" s="449"/>
      <c r="T56" s="449"/>
      <c r="U56" s="449"/>
      <c r="V56" s="535"/>
      <c r="W56" s="535"/>
      <c r="X56" s="535"/>
      <c r="Y56" s="535"/>
      <c r="Z56" s="535"/>
      <c r="AA56" s="449"/>
      <c r="AB56" s="449"/>
      <c r="AC56" s="449"/>
      <c r="AD56" s="449"/>
      <c r="AE56" s="449"/>
      <c r="AF56" s="449"/>
      <c r="AG56" s="449"/>
      <c r="AH56" s="449"/>
      <c r="AI56" s="449"/>
      <c r="AJ56" s="449"/>
      <c r="AK56" s="449"/>
      <c r="AL56" s="449"/>
      <c r="AM56" s="449"/>
      <c r="AN56" s="449"/>
      <c r="AO56" s="449"/>
      <c r="AP56" s="449"/>
      <c r="AQ56" s="449"/>
      <c r="AR56" s="449"/>
      <c r="AS56" s="449"/>
      <c r="AT56" s="449"/>
      <c r="AU56" s="449"/>
      <c r="AV56" s="533"/>
      <c r="AW56" s="534"/>
      <c r="AX56" s="11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105"/>
      <c r="BW56" s="105"/>
      <c r="BX56" s="105"/>
      <c r="BY56" s="105"/>
      <c r="BZ56" s="105"/>
      <c r="CA56" s="105"/>
      <c r="CB56" s="105"/>
      <c r="CC56" s="105"/>
      <c r="CD56" s="105"/>
      <c r="CE56" s="105"/>
      <c r="CF56" s="105"/>
      <c r="CG56" s="105"/>
      <c r="CH56" s="105"/>
      <c r="CI56" s="5"/>
      <c r="CJ56" s="5"/>
      <c r="CK56" s="5"/>
      <c r="CL56" s="5"/>
      <c r="DM56" s="5"/>
      <c r="DN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</row>
    <row r="57" spans="1:202" ht="11.1" customHeight="1" x14ac:dyDescent="0.25">
      <c r="G57" s="334" t="s">
        <v>17</v>
      </c>
      <c r="H57" s="237"/>
      <c r="I57" s="237"/>
      <c r="J57" s="237"/>
      <c r="K57" s="237"/>
      <c r="L57" s="238"/>
      <c r="M57" s="334" t="s">
        <v>71</v>
      </c>
      <c r="N57" s="237"/>
      <c r="O57" s="237"/>
      <c r="P57" s="237"/>
      <c r="Q57" s="237"/>
      <c r="R57" s="237"/>
      <c r="S57" s="238"/>
      <c r="T57" s="511" t="s">
        <v>78</v>
      </c>
      <c r="U57" s="512"/>
      <c r="V57" s="512"/>
      <c r="W57" s="512"/>
      <c r="X57" s="512"/>
      <c r="Y57" s="512"/>
      <c r="Z57" s="512"/>
      <c r="AA57" s="512"/>
      <c r="AB57" s="512"/>
      <c r="AC57" s="513"/>
      <c r="AD57" s="315" t="s">
        <v>72</v>
      </c>
      <c r="AE57" s="316"/>
      <c r="AF57" s="316"/>
      <c r="AG57" s="316"/>
      <c r="AH57" s="316"/>
      <c r="AI57" s="316"/>
      <c r="AJ57" s="317"/>
      <c r="AK57" s="315" t="s">
        <v>73</v>
      </c>
      <c r="AL57" s="316"/>
      <c r="AM57" s="316"/>
      <c r="AN57" s="316"/>
      <c r="AO57" s="316"/>
      <c r="AP57" s="317"/>
      <c r="AQ57" s="315" t="s">
        <v>333</v>
      </c>
      <c r="AR57" s="316"/>
      <c r="AS57" s="316"/>
      <c r="AT57" s="316"/>
      <c r="AU57" s="316"/>
      <c r="AV57" s="316"/>
      <c r="AW57" s="317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105"/>
      <c r="BW57" s="105"/>
      <c r="BX57" s="105"/>
      <c r="BY57" s="105"/>
      <c r="BZ57" s="105"/>
      <c r="CA57" s="105"/>
      <c r="CB57" s="105"/>
      <c r="CC57" s="105"/>
      <c r="CD57" s="105"/>
      <c r="CE57" s="105"/>
      <c r="CF57" s="105"/>
      <c r="CG57" s="105"/>
      <c r="DB57" s="5"/>
      <c r="DM57" s="5"/>
      <c r="DN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</row>
    <row r="58" spans="1:202" ht="11.1" customHeight="1" x14ac:dyDescent="0.25">
      <c r="A58" s="117"/>
      <c r="B58" s="112"/>
      <c r="C58" s="8">
        <f>IF(AQ58="Aq.Terreno e Constr.",1,IF(AQ58="Constr.Terr.Próprio",2,IF(AQ58="Ampliação",3,IF(AQ58="Melhoria",4,0))))</f>
        <v>0</v>
      </c>
      <c r="G58" s="449"/>
      <c r="H58" s="449"/>
      <c r="I58" s="449"/>
      <c r="J58" s="449"/>
      <c r="K58" s="449"/>
      <c r="L58" s="449"/>
      <c r="M58" s="449"/>
      <c r="N58" s="449"/>
      <c r="O58" s="449"/>
      <c r="P58" s="449"/>
      <c r="Q58" s="449"/>
      <c r="R58" s="449"/>
      <c r="S58" s="449"/>
      <c r="T58" s="522"/>
      <c r="U58" s="522"/>
      <c r="V58" s="522"/>
      <c r="W58" s="522"/>
      <c r="X58" s="128"/>
      <c r="Y58" s="521"/>
      <c r="Z58" s="522"/>
      <c r="AA58" s="522"/>
      <c r="AB58" s="522"/>
      <c r="AC58" s="129" t="s">
        <v>221</v>
      </c>
      <c r="AD58" s="450"/>
      <c r="AE58" s="504"/>
      <c r="AF58" s="504"/>
      <c r="AG58" s="504"/>
      <c r="AH58" s="504"/>
      <c r="AI58" s="504"/>
      <c r="AJ58" s="505"/>
      <c r="AK58" s="554"/>
      <c r="AL58" s="555"/>
      <c r="AM58" s="555"/>
      <c r="AN58" s="555"/>
      <c r="AO58" s="555"/>
      <c r="AP58" s="555"/>
      <c r="AQ58" s="218"/>
      <c r="AR58" s="219"/>
      <c r="AS58" s="219"/>
      <c r="AT58" s="219"/>
      <c r="AU58" s="219"/>
      <c r="AV58" s="219"/>
      <c r="AW58" s="220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105"/>
      <c r="BW58" s="105"/>
      <c r="BX58" s="105"/>
      <c r="BY58" s="105"/>
      <c r="BZ58" s="105"/>
      <c r="CA58" s="105"/>
      <c r="CB58" s="105"/>
      <c r="CC58" s="105"/>
      <c r="CD58" s="105"/>
      <c r="CE58" s="105"/>
      <c r="CF58" s="105"/>
      <c r="CG58" s="105"/>
      <c r="CH58" s="10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</row>
    <row r="59" spans="1:202" s="42" customFormat="1" ht="3.9" customHeight="1" x14ac:dyDescent="0.25">
      <c r="A59" s="8"/>
      <c r="B59" s="8"/>
      <c r="C59" s="8"/>
      <c r="D59" s="8"/>
      <c r="E59" s="9" t="s">
        <v>24</v>
      </c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105"/>
      <c r="BW59" s="105"/>
      <c r="BX59" s="105"/>
      <c r="BY59" s="105"/>
      <c r="BZ59" s="105"/>
      <c r="CA59" s="105"/>
      <c r="CB59" s="105"/>
      <c r="CC59" s="105"/>
      <c r="CD59" s="105"/>
      <c r="CE59" s="105"/>
      <c r="CF59" s="105"/>
      <c r="CG59" s="105"/>
      <c r="CH59" s="10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</row>
    <row r="60" spans="1:202" ht="12" customHeight="1" thickBot="1" x14ac:dyDescent="0.3">
      <c r="F60" s="47"/>
      <c r="G60" s="48" t="s">
        <v>49</v>
      </c>
      <c r="H60" s="47"/>
      <c r="I60" s="47"/>
      <c r="J60" s="47"/>
      <c r="K60" s="47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7"/>
      <c r="AA60" s="47"/>
      <c r="AB60" s="47"/>
      <c r="AC60" s="47"/>
      <c r="AD60" s="47"/>
      <c r="AE60" s="47"/>
      <c r="AF60" s="47"/>
      <c r="AG60" s="47"/>
      <c r="AH60" s="47"/>
      <c r="AI60" s="47"/>
      <c r="AJ60" s="47"/>
      <c r="AK60" s="47"/>
      <c r="AL60" s="47"/>
      <c r="AM60" s="47"/>
      <c r="AN60" s="47"/>
      <c r="AO60" s="47"/>
      <c r="AP60" s="47"/>
      <c r="AQ60" s="47"/>
      <c r="AR60" s="47"/>
      <c r="AS60" s="47"/>
      <c r="AT60" s="47"/>
      <c r="AU60" s="47"/>
      <c r="AV60" s="47"/>
      <c r="AW60" s="47"/>
      <c r="AX60" s="49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105"/>
      <c r="BW60" s="105"/>
      <c r="BX60" s="105"/>
      <c r="BY60" s="105"/>
      <c r="BZ60" s="105"/>
      <c r="CA60" s="105"/>
      <c r="CB60" s="105"/>
      <c r="CC60" s="105"/>
      <c r="CD60" s="105"/>
      <c r="CE60" s="105"/>
      <c r="CF60" s="105"/>
      <c r="CG60" s="10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</row>
    <row r="61" spans="1:202" ht="3.9" customHeight="1" x14ac:dyDescent="0.25">
      <c r="E61" s="9" t="s">
        <v>9</v>
      </c>
      <c r="F61" s="54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105"/>
      <c r="BW61" s="105"/>
      <c r="BX61" s="105"/>
      <c r="BY61" s="105"/>
      <c r="BZ61" s="105"/>
      <c r="CA61" s="105"/>
      <c r="CB61" s="105"/>
      <c r="CC61" s="105"/>
      <c r="CD61" s="105"/>
      <c r="CE61" s="105"/>
      <c r="CF61" s="105"/>
      <c r="CG61" s="105"/>
      <c r="CH61" s="10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</row>
    <row r="62" spans="1:202" ht="11.1" customHeight="1" x14ac:dyDescent="0.25">
      <c r="A62" s="112"/>
      <c r="B62" s="112"/>
      <c r="C62" s="112"/>
      <c r="D62" s="112"/>
      <c r="E62" s="113"/>
      <c r="G62" s="226" t="s">
        <v>81</v>
      </c>
      <c r="H62" s="469"/>
      <c r="I62" s="469"/>
      <c r="J62" s="469"/>
      <c r="K62" s="469"/>
      <c r="L62" s="469"/>
      <c r="M62" s="469"/>
      <c r="N62" s="469"/>
      <c r="O62" s="469"/>
      <c r="P62" s="469"/>
      <c r="Q62" s="520"/>
      <c r="R62" s="520"/>
      <c r="S62" s="520"/>
      <c r="T62" s="520"/>
      <c r="U62" s="520"/>
      <c r="V62" s="520"/>
      <c r="W62" s="469"/>
      <c r="X62" s="469"/>
      <c r="Y62" s="469"/>
      <c r="Z62" s="469"/>
      <c r="AA62" s="469"/>
      <c r="AB62" s="469"/>
      <c r="AC62" s="469"/>
      <c r="AD62" s="469"/>
      <c r="AE62" s="469"/>
      <c r="AF62" s="469"/>
      <c r="AG62" s="469"/>
      <c r="AH62" s="469"/>
      <c r="AI62" s="469"/>
      <c r="AJ62" s="469"/>
      <c r="AK62" s="469"/>
      <c r="AL62" s="469"/>
      <c r="AM62" s="469"/>
      <c r="AN62" s="469"/>
      <c r="AO62" s="469"/>
      <c r="AP62" s="469"/>
      <c r="AQ62" s="469"/>
      <c r="AR62" s="469"/>
      <c r="AS62" s="469"/>
      <c r="AT62" s="469"/>
      <c r="AU62" s="469"/>
      <c r="AV62" s="469"/>
      <c r="AW62" s="470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X62" s="105"/>
      <c r="BY62" s="5"/>
      <c r="BZ62" s="5"/>
      <c r="CA62" s="5"/>
      <c r="CB62" s="5"/>
      <c r="CC62" s="5"/>
      <c r="CD62" s="5"/>
      <c r="CE62" s="5"/>
      <c r="CF62" s="105"/>
      <c r="CG62" s="105"/>
      <c r="CH62" s="10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</row>
    <row r="63" spans="1:202" ht="11.1" customHeight="1" thickBot="1" x14ac:dyDescent="0.3">
      <c r="A63" s="117">
        <v>4</v>
      </c>
      <c r="B63" s="112" t="s">
        <v>79</v>
      </c>
      <c r="C63" s="117">
        <v>4</v>
      </c>
      <c r="D63" s="112" t="s">
        <v>79</v>
      </c>
      <c r="E63" s="114" t="str">
        <f>IF(A63=4," ","")</f>
        <v xml:space="preserve"> </v>
      </c>
      <c r="F63" s="9" t="str">
        <f>IF(C63=4," ","")</f>
        <v xml:space="preserve"> </v>
      </c>
      <c r="G63" s="463" t="s">
        <v>74</v>
      </c>
      <c r="H63" s="464"/>
      <c r="I63" s="464"/>
      <c r="J63" s="464"/>
      <c r="K63" s="464"/>
      <c r="L63" s="464"/>
      <c r="M63" s="464"/>
      <c r="N63" s="464"/>
      <c r="O63" s="464"/>
      <c r="P63" s="467"/>
      <c r="Q63" s="472"/>
      <c r="R63" s="473"/>
      <c r="S63" s="473"/>
      <c r="T63" s="473"/>
      <c r="U63" s="473"/>
      <c r="V63" s="474"/>
      <c r="W63" s="451" t="str">
        <f>IF(Q63="Falta","Item Obrigatório","")</f>
        <v/>
      </c>
      <c r="X63" s="451"/>
      <c r="Y63" s="451"/>
      <c r="Z63" s="451"/>
      <c r="AA63" s="451"/>
      <c r="AB63" s="452"/>
      <c r="AC63" s="463" t="s">
        <v>223</v>
      </c>
      <c r="AD63" s="464"/>
      <c r="AE63" s="464"/>
      <c r="AF63" s="464"/>
      <c r="AG63" s="464"/>
      <c r="AH63" s="464"/>
      <c r="AI63" s="464"/>
      <c r="AJ63" s="464"/>
      <c r="AK63" s="467"/>
      <c r="AL63" s="472"/>
      <c r="AM63" s="473"/>
      <c r="AN63" s="473"/>
      <c r="AO63" s="473"/>
      <c r="AP63" s="473"/>
      <c r="AQ63" s="474"/>
      <c r="AR63" s="451" t="str">
        <f>IF(AL63="Falta","Item Obrigatório","")</f>
        <v/>
      </c>
      <c r="AS63" s="451"/>
      <c r="AT63" s="451"/>
      <c r="AU63" s="451"/>
      <c r="AV63" s="451"/>
      <c r="AW63" s="452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X63" s="105"/>
      <c r="BY63" s="5"/>
      <c r="BZ63" s="5"/>
      <c r="CA63" s="5"/>
      <c r="CB63" s="5"/>
      <c r="CC63" s="5"/>
      <c r="CD63" s="5"/>
      <c r="CE63" s="5"/>
      <c r="CF63" s="105"/>
      <c r="CG63" s="105"/>
      <c r="CH63" s="105"/>
      <c r="CK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</row>
    <row r="64" spans="1:202" ht="11.1" customHeight="1" thickTop="1" x14ac:dyDescent="0.25">
      <c r="A64" s="117">
        <v>1</v>
      </c>
      <c r="B64" s="112" t="s">
        <v>46</v>
      </c>
      <c r="C64" s="117"/>
      <c r="D64" s="112"/>
      <c r="E64" s="114" t="str">
        <f>IF(A64=4," ","")</f>
        <v/>
      </c>
      <c r="F64" s="9" t="str">
        <f>IF(C64=4," ","")</f>
        <v/>
      </c>
      <c r="G64" s="200" t="s">
        <v>76</v>
      </c>
      <c r="H64" s="201"/>
      <c r="I64" s="201"/>
      <c r="J64" s="201"/>
      <c r="K64" s="201"/>
      <c r="L64" s="201"/>
      <c r="M64" s="201"/>
      <c r="N64" s="201"/>
      <c r="O64" s="201"/>
      <c r="P64" s="202"/>
      <c r="Q64" s="472"/>
      <c r="R64" s="473"/>
      <c r="S64" s="473"/>
      <c r="T64" s="473"/>
      <c r="U64" s="473"/>
      <c r="V64" s="474"/>
      <c r="W64" s="451" t="str">
        <f>IF(Q64="Falta","Item Obrigatório","")</f>
        <v/>
      </c>
      <c r="X64" s="451"/>
      <c r="Y64" s="451"/>
      <c r="Z64" s="451"/>
      <c r="AA64" s="451"/>
      <c r="AB64" s="452"/>
      <c r="AC64" s="324" t="s">
        <v>292</v>
      </c>
      <c r="AD64" s="324"/>
      <c r="AE64" s="324"/>
      <c r="AF64" s="324"/>
      <c r="AG64" s="324"/>
      <c r="AH64" s="503"/>
      <c r="AI64" s="503"/>
      <c r="AJ64" s="503"/>
      <c r="AK64" s="503"/>
      <c r="AL64" s="463" t="s">
        <v>77</v>
      </c>
      <c r="AM64" s="464"/>
      <c r="AN64" s="464"/>
      <c r="AO64" s="465"/>
      <c r="AP64" s="465"/>
      <c r="AQ64" s="466"/>
      <c r="AR64" s="472"/>
      <c r="AS64" s="473"/>
      <c r="AT64" s="473"/>
      <c r="AU64" s="473"/>
      <c r="AV64" s="473"/>
      <c r="AW64" s="474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454" t="s">
        <v>453</v>
      </c>
      <c r="BT64" s="455"/>
      <c r="BU64" s="455"/>
      <c r="BV64" s="455"/>
      <c r="BW64" s="455"/>
      <c r="BX64" s="455"/>
      <c r="BY64" s="455"/>
      <c r="BZ64" s="455"/>
      <c r="CA64" s="455"/>
      <c r="CB64" s="455"/>
      <c r="CC64" s="456"/>
      <c r="CD64" s="5"/>
      <c r="CE64" s="5"/>
      <c r="CF64" s="105"/>
      <c r="CG64" s="105"/>
      <c r="CH64" s="10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</row>
    <row r="65" spans="1:202" ht="11.1" customHeight="1" x14ac:dyDescent="0.25">
      <c r="A65" s="117">
        <v>1</v>
      </c>
      <c r="B65" s="112" t="s">
        <v>46</v>
      </c>
      <c r="C65" s="112"/>
      <c r="D65" s="113"/>
      <c r="E65" s="114" t="str">
        <f>IF(A65=4," ","")</f>
        <v/>
      </c>
      <c r="F65" s="9" t="str">
        <f>IF(A64=1," ","")</f>
        <v xml:space="preserve"> </v>
      </c>
      <c r="G65" s="463" t="s">
        <v>222</v>
      </c>
      <c r="H65" s="464"/>
      <c r="I65" s="464"/>
      <c r="J65" s="464"/>
      <c r="K65" s="464"/>
      <c r="L65" s="464"/>
      <c r="M65" s="464"/>
      <c r="N65" s="464"/>
      <c r="O65" s="464"/>
      <c r="P65" s="467"/>
      <c r="Q65" s="472"/>
      <c r="R65" s="473"/>
      <c r="S65" s="473"/>
      <c r="T65" s="473"/>
      <c r="U65" s="473"/>
      <c r="V65" s="474"/>
      <c r="W65" s="451" t="str">
        <f>IF(Q65="Falta","Item Obrigatório","")</f>
        <v/>
      </c>
      <c r="X65" s="451"/>
      <c r="Y65" s="451"/>
      <c r="Z65" s="451"/>
      <c r="AA65" s="451"/>
      <c r="AB65" s="452"/>
      <c r="AC65" s="523" t="s">
        <v>225</v>
      </c>
      <c r="AD65" s="471"/>
      <c r="AE65" s="471"/>
      <c r="AF65" s="453"/>
      <c r="AG65" s="453"/>
      <c r="AH65" s="453"/>
      <c r="AI65" s="453"/>
      <c r="AJ65" s="453"/>
      <c r="AK65" s="453"/>
      <c r="AL65" s="453"/>
      <c r="AM65" s="453"/>
      <c r="AN65" s="453"/>
      <c r="AO65" s="524" t="s">
        <v>448</v>
      </c>
      <c r="AP65" s="525"/>
      <c r="AQ65" s="525"/>
      <c r="AR65" s="525"/>
      <c r="AS65" s="525"/>
      <c r="AT65" s="574"/>
      <c r="AU65" s="575"/>
      <c r="AV65" s="575"/>
      <c r="AW65" s="576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457"/>
      <c r="BT65" s="458"/>
      <c r="BU65" s="458"/>
      <c r="BV65" s="458"/>
      <c r="BW65" s="458"/>
      <c r="BX65" s="458"/>
      <c r="BY65" s="458"/>
      <c r="BZ65" s="458"/>
      <c r="CA65" s="458"/>
      <c r="CB65" s="458"/>
      <c r="CC65" s="459"/>
      <c r="CD65" s="5"/>
      <c r="CE65" s="5"/>
      <c r="CF65" s="10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</row>
    <row r="66" spans="1:202" ht="11.1" customHeight="1" x14ac:dyDescent="0.25">
      <c r="A66" s="117">
        <v>1</v>
      </c>
      <c r="B66" s="112" t="s">
        <v>46</v>
      </c>
      <c r="C66" s="112"/>
      <c r="D66" s="113"/>
      <c r="E66" s="114" t="str">
        <f>IF(A66=4," ","")</f>
        <v/>
      </c>
      <c r="F66" s="9" t="str">
        <f>IF(A65=1," ","")</f>
        <v xml:space="preserve"> </v>
      </c>
      <c r="G66" s="463" t="s">
        <v>224</v>
      </c>
      <c r="H66" s="464"/>
      <c r="I66" s="464"/>
      <c r="J66" s="464"/>
      <c r="K66" s="464"/>
      <c r="L66" s="464"/>
      <c r="M66" s="464"/>
      <c r="N66" s="464"/>
      <c r="O66" s="464"/>
      <c r="P66" s="467"/>
      <c r="Q66" s="472"/>
      <c r="R66" s="473"/>
      <c r="S66" s="473"/>
      <c r="T66" s="473"/>
      <c r="U66" s="473"/>
      <c r="V66" s="474"/>
      <c r="W66" s="451" t="str">
        <f>IF(Q66="Falta","Item Obrigatório","")</f>
        <v/>
      </c>
      <c r="X66" s="451"/>
      <c r="Y66" s="451"/>
      <c r="Z66" s="451"/>
      <c r="AA66" s="451"/>
      <c r="AB66" s="452"/>
      <c r="AC66" s="471" t="s">
        <v>225</v>
      </c>
      <c r="AD66" s="471"/>
      <c r="AE66" s="471"/>
      <c r="AF66" s="453"/>
      <c r="AG66" s="453"/>
      <c r="AH66" s="453"/>
      <c r="AI66" s="453"/>
      <c r="AJ66" s="453"/>
      <c r="AK66" s="453"/>
      <c r="AL66" s="453"/>
      <c r="AM66" s="453"/>
      <c r="AN66" s="453"/>
      <c r="AO66" s="526"/>
      <c r="AP66" s="527"/>
      <c r="AQ66" s="527"/>
      <c r="AR66" s="527"/>
      <c r="AS66" s="527"/>
      <c r="AT66" s="577"/>
      <c r="AU66" s="578"/>
      <c r="AV66" s="578"/>
      <c r="AW66" s="579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457"/>
      <c r="BT66" s="458"/>
      <c r="BU66" s="458"/>
      <c r="BV66" s="458"/>
      <c r="BW66" s="458"/>
      <c r="BX66" s="458"/>
      <c r="BY66" s="458"/>
      <c r="BZ66" s="458"/>
      <c r="CA66" s="458"/>
      <c r="CB66" s="458"/>
      <c r="CC66" s="459"/>
      <c r="CD66" s="5"/>
      <c r="CE66" s="5"/>
      <c r="CF66" s="10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</row>
    <row r="67" spans="1:202" ht="3.9" customHeight="1" thickBot="1" x14ac:dyDescent="0.3">
      <c r="E67" s="9" t="s">
        <v>9</v>
      </c>
      <c r="F67" s="9" t="str">
        <f>IF(A66=1," ","")</f>
        <v xml:space="preserve"> </v>
      </c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460"/>
      <c r="BT67" s="461"/>
      <c r="BU67" s="461"/>
      <c r="BV67" s="461"/>
      <c r="BW67" s="461"/>
      <c r="BX67" s="461"/>
      <c r="BY67" s="461"/>
      <c r="BZ67" s="461"/>
      <c r="CA67" s="461"/>
      <c r="CB67" s="461"/>
      <c r="CC67" s="462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</row>
    <row r="68" spans="1:202" ht="11.1" customHeight="1" thickTop="1" x14ac:dyDescent="0.25">
      <c r="G68" s="226" t="s">
        <v>82</v>
      </c>
      <c r="H68" s="227"/>
      <c r="I68" s="227"/>
      <c r="J68" s="227"/>
      <c r="K68" s="227"/>
      <c r="L68" s="227"/>
      <c r="M68" s="227"/>
      <c r="N68" s="227"/>
      <c r="O68" s="227"/>
      <c r="P68" s="227"/>
      <c r="Q68" s="227"/>
      <c r="R68" s="227"/>
      <c r="S68" s="227"/>
      <c r="T68" s="227"/>
      <c r="U68" s="227"/>
      <c r="V68" s="227"/>
      <c r="W68" s="227"/>
      <c r="X68" s="227"/>
      <c r="Y68" s="227"/>
      <c r="Z68" s="227"/>
      <c r="AA68" s="227"/>
      <c r="AB68" s="227"/>
      <c r="AC68" s="227"/>
      <c r="AD68" s="227"/>
      <c r="AE68" s="227"/>
      <c r="AF68" s="227"/>
      <c r="AG68" s="227"/>
      <c r="AH68" s="227"/>
      <c r="AI68" s="227"/>
      <c r="AJ68" s="227"/>
      <c r="AK68" s="227"/>
      <c r="AL68" s="227"/>
      <c r="AM68" s="227"/>
      <c r="AN68" s="227"/>
      <c r="AO68" s="227"/>
      <c r="AP68" s="227"/>
      <c r="AQ68" s="227"/>
      <c r="AR68" s="227"/>
      <c r="AS68" s="227"/>
      <c r="AT68" s="227"/>
      <c r="AU68" s="227"/>
      <c r="AV68" s="227"/>
      <c r="AW68" s="228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S68" s="435" t="s">
        <v>495</v>
      </c>
      <c r="BT68" s="436"/>
      <c r="BU68" s="436"/>
      <c r="BV68" s="436"/>
      <c r="BW68" s="436"/>
      <c r="BX68" s="436"/>
      <c r="BY68" s="436"/>
      <c r="BZ68" s="436"/>
      <c r="CA68" s="436"/>
      <c r="CB68" s="436"/>
      <c r="CC68" s="437"/>
      <c r="CD68" s="5"/>
      <c r="CE68" s="5"/>
      <c r="CF68" s="5"/>
      <c r="CG68" s="5"/>
      <c r="CH68" s="5"/>
      <c r="CI68" s="5"/>
      <c r="CJ68" s="5"/>
      <c r="CK68" s="5"/>
      <c r="CL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</row>
    <row r="69" spans="1:202" ht="11.1" customHeight="1" x14ac:dyDescent="0.25">
      <c r="G69" s="334" t="s">
        <v>88</v>
      </c>
      <c r="H69" s="237"/>
      <c r="I69" s="237"/>
      <c r="J69" s="237"/>
      <c r="K69" s="237"/>
      <c r="L69" s="237"/>
      <c r="M69" s="237"/>
      <c r="N69" s="237"/>
      <c r="O69" s="237"/>
      <c r="P69" s="237"/>
      <c r="Q69" s="237"/>
      <c r="R69" s="237"/>
      <c r="S69" s="237"/>
      <c r="T69" s="237"/>
      <c r="U69" s="237"/>
      <c r="V69" s="237"/>
      <c r="W69" s="237"/>
      <c r="X69" s="237"/>
      <c r="Y69" s="237"/>
      <c r="Z69" s="237"/>
      <c r="AA69" s="237"/>
      <c r="AB69" s="237"/>
      <c r="AC69" s="237"/>
      <c r="AD69" s="237"/>
      <c r="AE69" s="237"/>
      <c r="AF69" s="237"/>
      <c r="AG69" s="237"/>
      <c r="AH69" s="237"/>
      <c r="AI69" s="237"/>
      <c r="AJ69" s="237"/>
      <c r="AK69" s="237"/>
      <c r="AL69" s="237"/>
      <c r="AM69" s="237"/>
      <c r="AN69" s="237"/>
      <c r="AO69" s="237"/>
      <c r="AP69" s="237"/>
      <c r="AQ69" s="237"/>
      <c r="AR69" s="237"/>
      <c r="AS69" s="237"/>
      <c r="AT69" s="237"/>
      <c r="AU69" s="237"/>
      <c r="AV69" s="237"/>
      <c r="AW69" s="238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/>
      <c r="BS69" s="438"/>
      <c r="BT69" s="439"/>
      <c r="BU69" s="439"/>
      <c r="BV69" s="439"/>
      <c r="BW69" s="439"/>
      <c r="BX69" s="439"/>
      <c r="BY69" s="439"/>
      <c r="BZ69" s="439"/>
      <c r="CA69" s="439"/>
      <c r="CB69" s="439"/>
      <c r="CC69" s="440"/>
      <c r="CD69" s="5"/>
      <c r="CE69" s="5"/>
      <c r="CF69" s="5"/>
      <c r="CG69" s="5"/>
      <c r="CH69" s="5"/>
      <c r="CI69" s="5"/>
      <c r="CJ69" s="5"/>
      <c r="CK69" s="5"/>
      <c r="CL69" s="5"/>
      <c r="CX69" s="5"/>
      <c r="CY69" s="5"/>
      <c r="CZ69" s="5"/>
      <c r="DA69" s="5"/>
      <c r="DB69" s="5"/>
      <c r="DC69" s="5"/>
      <c r="DD69" s="5"/>
      <c r="DE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</row>
    <row r="70" spans="1:202" ht="11.1" customHeight="1" x14ac:dyDescent="0.25">
      <c r="C70" s="8" t="str">
        <f>IF(C58=1,1,"")</f>
        <v/>
      </c>
      <c r="G70" s="580" t="s">
        <v>472</v>
      </c>
      <c r="H70" s="581"/>
      <c r="I70" s="581"/>
      <c r="J70" s="581"/>
      <c r="K70" s="581"/>
      <c r="L70" s="581"/>
      <c r="M70" s="581"/>
      <c r="N70" s="581"/>
      <c r="O70" s="581"/>
      <c r="P70" s="581"/>
      <c r="Q70" s="581"/>
      <c r="R70" s="581"/>
      <c r="S70" s="581"/>
      <c r="T70" s="581"/>
      <c r="U70" s="581"/>
      <c r="V70" s="581"/>
      <c r="W70" s="581"/>
      <c r="X70" s="581"/>
      <c r="Y70" s="581"/>
      <c r="Z70" s="581"/>
      <c r="AA70" s="581"/>
      <c r="AB70" s="581"/>
      <c r="AC70" s="582"/>
      <c r="AD70" s="582"/>
      <c r="AE70" s="582"/>
      <c r="AF70" s="582"/>
      <c r="AG70" s="582"/>
      <c r="AH70" s="582"/>
      <c r="AI70" s="582"/>
      <c r="AJ70" s="582"/>
      <c r="AK70" s="582"/>
      <c r="AL70" s="582"/>
      <c r="AM70" s="582"/>
      <c r="AN70" s="582"/>
      <c r="AO70" s="582"/>
      <c r="AP70" s="582"/>
      <c r="AQ70" s="582"/>
      <c r="AR70" s="582"/>
      <c r="AS70" s="582"/>
      <c r="AT70" s="582"/>
      <c r="AU70" s="582"/>
      <c r="AV70" s="582"/>
      <c r="AW70" s="583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/>
      <c r="BS70" s="438"/>
      <c r="BT70" s="439"/>
      <c r="BU70" s="439"/>
      <c r="BV70" s="439"/>
      <c r="BW70" s="439"/>
      <c r="BX70" s="439"/>
      <c r="BY70" s="439"/>
      <c r="BZ70" s="439"/>
      <c r="CA70" s="439"/>
      <c r="CB70" s="439"/>
      <c r="CC70" s="440"/>
      <c r="CD70" s="5"/>
      <c r="CE70" s="5"/>
      <c r="CF70" s="5"/>
      <c r="CG70" s="5"/>
      <c r="CH70" s="5"/>
      <c r="CI70" s="5"/>
      <c r="CJ70" s="5"/>
      <c r="CK70" s="5"/>
      <c r="CL70" s="5"/>
      <c r="CX70" s="5"/>
      <c r="CY70" s="5"/>
      <c r="CZ70" s="5"/>
      <c r="DA70" s="5"/>
      <c r="DB70" s="5"/>
      <c r="DC70" s="5"/>
      <c r="DD70" s="5"/>
      <c r="DE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</row>
    <row r="71" spans="1:202" ht="11.1" customHeight="1" x14ac:dyDescent="0.25">
      <c r="G71" s="315" t="s">
        <v>473</v>
      </c>
      <c r="H71" s="316"/>
      <c r="I71" s="316"/>
      <c r="J71" s="316"/>
      <c r="K71" s="316"/>
      <c r="L71" s="316"/>
      <c r="M71" s="317"/>
      <c r="N71" s="315" t="s">
        <v>474</v>
      </c>
      <c r="O71" s="316"/>
      <c r="P71" s="316"/>
      <c r="Q71" s="316"/>
      <c r="R71" s="316"/>
      <c r="S71" s="316"/>
      <c r="T71" s="317"/>
      <c r="U71" s="508" t="s">
        <v>475</v>
      </c>
      <c r="V71" s="509"/>
      <c r="W71" s="509"/>
      <c r="X71" s="509"/>
      <c r="Y71" s="509"/>
      <c r="Z71" s="509"/>
      <c r="AA71" s="509"/>
      <c r="AB71" s="510"/>
      <c r="AC71" s="315" t="s">
        <v>236</v>
      </c>
      <c r="AD71" s="316"/>
      <c r="AE71" s="316"/>
      <c r="AF71" s="316"/>
      <c r="AG71" s="316"/>
      <c r="AH71" s="316"/>
      <c r="AI71" s="317"/>
      <c r="AJ71" s="315" t="s">
        <v>227</v>
      </c>
      <c r="AK71" s="316"/>
      <c r="AL71" s="316"/>
      <c r="AM71" s="316"/>
      <c r="AN71" s="316"/>
      <c r="AO71" s="316"/>
      <c r="AP71" s="317"/>
      <c r="AQ71" s="511" t="s">
        <v>238</v>
      </c>
      <c r="AR71" s="512"/>
      <c r="AS71" s="512"/>
      <c r="AT71" s="512"/>
      <c r="AU71" s="512"/>
      <c r="AV71" s="512"/>
      <c r="AW71" s="513"/>
      <c r="AY71" s="5"/>
      <c r="BA71" s="5"/>
      <c r="BB71" s="194">
        <f>IF(N74="",0,IF(LEFT(N74,4)="Conv",1,IF(LEFT(N74,4)="Inov",2,3)))</f>
        <v>0</v>
      </c>
      <c r="BC71" s="5" t="str">
        <f>IF(BB71&lt;2,""," ")</f>
        <v/>
      </c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/>
      <c r="BS71" s="438"/>
      <c r="BT71" s="439"/>
      <c r="BU71" s="439"/>
      <c r="BV71" s="439"/>
      <c r="BW71" s="439"/>
      <c r="BX71" s="439"/>
      <c r="BY71" s="439"/>
      <c r="BZ71" s="439"/>
      <c r="CA71" s="439"/>
      <c r="CB71" s="439"/>
      <c r="CC71" s="440"/>
      <c r="CD71" s="5"/>
      <c r="CE71" s="5"/>
      <c r="CF71" s="5"/>
      <c r="CG71" s="5"/>
      <c r="CH71" s="5"/>
      <c r="CI71" s="5"/>
      <c r="CJ71" s="5"/>
      <c r="CK71" s="5"/>
      <c r="CL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</row>
    <row r="72" spans="1:202" ht="11.1" customHeight="1" x14ac:dyDescent="0.25">
      <c r="G72" s="478"/>
      <c r="H72" s="478"/>
      <c r="I72" s="478"/>
      <c r="J72" s="478"/>
      <c r="K72" s="478"/>
      <c r="L72" s="479"/>
      <c r="M72" s="65" t="s">
        <v>26</v>
      </c>
      <c r="N72" s="480"/>
      <c r="O72" s="481"/>
      <c r="P72" s="481"/>
      <c r="Q72" s="481"/>
      <c r="R72" s="481"/>
      <c r="S72" s="482"/>
      <c r="T72" s="203" t="s">
        <v>26</v>
      </c>
      <c r="U72" s="483"/>
      <c r="V72" s="484"/>
      <c r="W72" s="484"/>
      <c r="X72" s="484"/>
      <c r="Y72" s="484"/>
      <c r="Z72" s="484"/>
      <c r="AA72" s="485"/>
      <c r="AB72" s="203" t="s">
        <v>26</v>
      </c>
      <c r="AC72" s="514">
        <f>G72+U72</f>
        <v>0</v>
      </c>
      <c r="AD72" s="515"/>
      <c r="AE72" s="515"/>
      <c r="AF72" s="515"/>
      <c r="AG72" s="515"/>
      <c r="AH72" s="516"/>
      <c r="AI72" s="203" t="s">
        <v>26</v>
      </c>
      <c r="AJ72" s="480"/>
      <c r="AK72" s="481"/>
      <c r="AL72" s="481"/>
      <c r="AM72" s="481"/>
      <c r="AN72" s="481"/>
      <c r="AO72" s="482"/>
      <c r="AP72" s="204" t="s">
        <v>26</v>
      </c>
      <c r="AQ72" s="203" t="s">
        <v>237</v>
      </c>
      <c r="AR72" s="517"/>
      <c r="AS72" s="518"/>
      <c r="AT72" s="518"/>
      <c r="AU72" s="518"/>
      <c r="AV72" s="518"/>
      <c r="AW72" s="519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/>
      <c r="BS72" s="438"/>
      <c r="BT72" s="439"/>
      <c r="BU72" s="439"/>
      <c r="BV72" s="439"/>
      <c r="BW72" s="439"/>
      <c r="BX72" s="439"/>
      <c r="BY72" s="439"/>
      <c r="BZ72" s="439"/>
      <c r="CA72" s="439"/>
      <c r="CB72" s="439"/>
      <c r="CC72" s="440"/>
      <c r="CD72" s="5"/>
      <c r="CE72" s="5"/>
      <c r="CF72" s="5"/>
      <c r="CG72" s="5"/>
      <c r="CH72" s="5"/>
      <c r="CI72" s="5"/>
      <c r="CJ72" s="5"/>
      <c r="CK72" s="5"/>
      <c r="CL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</row>
    <row r="73" spans="1:202" ht="11.1" customHeight="1" x14ac:dyDescent="0.25">
      <c r="F73" s="189"/>
      <c r="G73" s="206" t="s">
        <v>476</v>
      </c>
      <c r="H73" s="207"/>
      <c r="I73" s="207"/>
      <c r="J73" s="207"/>
      <c r="K73" s="207"/>
      <c r="L73" s="208"/>
      <c r="M73" s="205"/>
      <c r="N73" s="556" t="s">
        <v>226</v>
      </c>
      <c r="O73" s="557"/>
      <c r="P73" s="557"/>
      <c r="Q73" s="557"/>
      <c r="R73" s="557"/>
      <c r="S73" s="557"/>
      <c r="T73" s="557"/>
      <c r="U73" s="557"/>
      <c r="V73" s="557"/>
      <c r="W73" s="557"/>
      <c r="X73" s="557"/>
      <c r="Y73" s="557"/>
      <c r="Z73" s="557"/>
      <c r="AA73" s="558"/>
      <c r="AB73" s="334" t="s">
        <v>239</v>
      </c>
      <c r="AC73" s="237"/>
      <c r="AD73" s="237"/>
      <c r="AE73" s="237"/>
      <c r="AF73" s="237"/>
      <c r="AG73" s="237"/>
      <c r="AH73" s="237"/>
      <c r="AI73" s="237"/>
      <c r="AJ73" s="237"/>
      <c r="AK73" s="237"/>
      <c r="AL73" s="237"/>
      <c r="AM73" s="237"/>
      <c r="AN73" s="237"/>
      <c r="AO73" s="237"/>
      <c r="AP73" s="237"/>
      <c r="AQ73" s="237"/>
      <c r="AR73" s="237"/>
      <c r="AS73" s="237"/>
      <c r="AT73" s="237"/>
      <c r="AU73" s="237"/>
      <c r="AV73" s="237"/>
      <c r="AW73" s="238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/>
      <c r="BS73" s="438"/>
      <c r="BT73" s="439"/>
      <c r="BU73" s="439"/>
      <c r="BV73" s="439"/>
      <c r="BW73" s="439"/>
      <c r="BX73" s="439"/>
      <c r="BY73" s="439"/>
      <c r="BZ73" s="439"/>
      <c r="CA73" s="439"/>
      <c r="CB73" s="439"/>
      <c r="CC73" s="440"/>
      <c r="CD73" s="5"/>
      <c r="CE73" s="5"/>
      <c r="CF73" s="5"/>
      <c r="CG73" s="5"/>
      <c r="CH73" s="5"/>
      <c r="CI73" s="5"/>
      <c r="CJ73" s="5"/>
      <c r="CK73" s="5"/>
      <c r="CL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</row>
    <row r="74" spans="1:202" ht="11.1" customHeight="1" x14ac:dyDescent="0.25">
      <c r="F74" s="183"/>
      <c r="G74" s="472"/>
      <c r="H74" s="473"/>
      <c r="I74" s="473"/>
      <c r="J74" s="473"/>
      <c r="K74" s="473"/>
      <c r="L74" s="474"/>
      <c r="M74" s="65" t="s">
        <v>26</v>
      </c>
      <c r="N74" s="536"/>
      <c r="O74" s="537"/>
      <c r="P74" s="537"/>
      <c r="Q74" s="537"/>
      <c r="R74" s="537"/>
      <c r="S74" s="537"/>
      <c r="T74" s="537"/>
      <c r="U74" s="537"/>
      <c r="V74" s="537"/>
      <c r="W74" s="537"/>
      <c r="X74" s="537"/>
      <c r="Y74" s="537"/>
      <c r="Z74" s="537"/>
      <c r="AA74" s="538"/>
      <c r="AB74" s="312"/>
      <c r="AC74" s="312"/>
      <c r="AD74" s="312"/>
      <c r="AE74" s="312"/>
      <c r="AF74" s="312"/>
      <c r="AG74" s="312"/>
      <c r="AH74" s="312"/>
      <c r="AI74" s="312"/>
      <c r="AJ74" s="312"/>
      <c r="AK74" s="312"/>
      <c r="AL74" s="312"/>
      <c r="AM74" s="312"/>
      <c r="AN74" s="312"/>
      <c r="AO74" s="312"/>
      <c r="AP74" s="312"/>
      <c r="AQ74" s="312"/>
      <c r="AR74" s="312"/>
      <c r="AS74" s="312"/>
      <c r="AT74" s="312"/>
      <c r="AU74" s="312"/>
      <c r="AV74" s="312"/>
      <c r="AW74" s="313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/>
      <c r="BS74" s="438"/>
      <c r="BT74" s="439"/>
      <c r="BU74" s="439"/>
      <c r="BV74" s="439"/>
      <c r="BW74" s="439"/>
      <c r="BX74" s="439"/>
      <c r="BY74" s="439"/>
      <c r="BZ74" s="439"/>
      <c r="CA74" s="439"/>
      <c r="CB74" s="439"/>
      <c r="CC74" s="440"/>
      <c r="CD74" s="5"/>
      <c r="CE74" s="5"/>
      <c r="CF74" s="5"/>
      <c r="CG74" s="5"/>
      <c r="CH74" s="5"/>
      <c r="CI74" s="5"/>
      <c r="CJ74" s="5"/>
      <c r="CK74" s="5"/>
      <c r="CL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</row>
    <row r="75" spans="1:202" ht="11.1" customHeight="1" x14ac:dyDescent="0.25">
      <c r="F75" s="183"/>
      <c r="G75" s="188"/>
      <c r="H75" s="188"/>
      <c r="I75" s="188"/>
      <c r="J75" s="188"/>
      <c r="K75" s="188"/>
      <c r="L75" s="188"/>
      <c r="M75" s="188"/>
      <c r="N75" s="188"/>
      <c r="O75" s="188"/>
      <c r="P75" s="188"/>
      <c r="Q75" s="188"/>
      <c r="R75" s="539" t="s">
        <v>239</v>
      </c>
      <c r="S75" s="540"/>
      <c r="T75" s="540"/>
      <c r="U75" s="540"/>
      <c r="V75" s="540"/>
      <c r="W75" s="540"/>
      <c r="X75" s="540"/>
      <c r="Y75" s="540"/>
      <c r="Z75" s="540"/>
      <c r="AA75" s="540"/>
      <c r="AB75" s="540"/>
      <c r="AC75" s="541"/>
      <c r="AD75" s="542"/>
      <c r="AE75" s="543"/>
      <c r="AF75" s="543"/>
      <c r="AG75" s="543"/>
      <c r="AH75" s="543"/>
      <c r="AI75" s="543"/>
      <c r="AJ75" s="543"/>
      <c r="AK75" s="543"/>
      <c r="AL75" s="543"/>
      <c r="AM75" s="543"/>
      <c r="AN75" s="543"/>
      <c r="AO75" s="543"/>
      <c r="AP75" s="543"/>
      <c r="AQ75" s="543"/>
      <c r="AR75" s="543"/>
      <c r="AS75" s="543"/>
      <c r="AT75" s="543"/>
      <c r="AU75" s="543"/>
      <c r="AV75" s="543"/>
      <c r="AW75" s="544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/>
      <c r="BS75" s="438"/>
      <c r="BT75" s="439"/>
      <c r="BU75" s="439"/>
      <c r="BV75" s="439"/>
      <c r="BW75" s="439"/>
      <c r="BX75" s="439"/>
      <c r="BY75" s="439"/>
      <c r="BZ75" s="439"/>
      <c r="CA75" s="439"/>
      <c r="CB75" s="439"/>
      <c r="CC75" s="440"/>
      <c r="CD75" s="5"/>
      <c r="CE75" s="5"/>
      <c r="CF75" s="5"/>
      <c r="CG75" s="5"/>
      <c r="CH75" s="5"/>
      <c r="CI75" s="5"/>
      <c r="CJ75" s="5"/>
      <c r="CK75" s="5"/>
      <c r="CL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</row>
    <row r="76" spans="1:202" ht="11.1" customHeight="1" x14ac:dyDescent="0.25">
      <c r="F76" s="183"/>
      <c r="G76" s="545" t="str">
        <f>IF(BB71=0,"",IF(BB71=1,"Convencional: Não há necessidade de Documentação Complementar para análise",IF(BB71=2,"Inovador: Obrigatória apresentação de Documentação Complementar para análise","Outros: se Sistema Inovador, Obrigatória apresentação de Doc. Complementar")))</f>
        <v/>
      </c>
      <c r="H76" s="546"/>
      <c r="I76" s="546"/>
      <c r="J76" s="546"/>
      <c r="K76" s="546"/>
      <c r="L76" s="546"/>
      <c r="M76" s="546"/>
      <c r="N76" s="546"/>
      <c r="O76" s="546"/>
      <c r="P76" s="546"/>
      <c r="Q76" s="546"/>
      <c r="R76" s="546"/>
      <c r="S76" s="546"/>
      <c r="T76" s="546"/>
      <c r="U76" s="546"/>
      <c r="V76" s="546"/>
      <c r="W76" s="546"/>
      <c r="X76" s="546"/>
      <c r="Y76" s="546"/>
      <c r="Z76" s="546"/>
      <c r="AA76" s="546"/>
      <c r="AB76" s="546"/>
      <c r="AC76" s="546"/>
      <c r="AD76" s="546"/>
      <c r="AE76" s="546"/>
      <c r="AF76" s="546"/>
      <c r="AG76" s="547"/>
      <c r="AH76" s="548" t="s">
        <v>449</v>
      </c>
      <c r="AI76" s="549"/>
      <c r="AJ76" s="549"/>
      <c r="AK76" s="549"/>
      <c r="AL76" s="549"/>
      <c r="AM76" s="549"/>
      <c r="AN76" s="549"/>
      <c r="AO76" s="549"/>
      <c r="AP76" s="549"/>
      <c r="AQ76" s="549"/>
      <c r="AR76" s="550"/>
      <c r="AS76" s="475"/>
      <c r="AT76" s="476"/>
      <c r="AU76" s="476"/>
      <c r="AV76" s="476"/>
      <c r="AW76" s="477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/>
      <c r="BS76" s="438"/>
      <c r="BT76" s="439"/>
      <c r="BU76" s="439"/>
      <c r="BV76" s="439"/>
      <c r="BW76" s="439"/>
      <c r="BX76" s="439"/>
      <c r="BY76" s="439"/>
      <c r="BZ76" s="439"/>
      <c r="CA76" s="439"/>
      <c r="CB76" s="439"/>
      <c r="CC76" s="440"/>
      <c r="CD76" s="5"/>
      <c r="CE76" s="5"/>
      <c r="CF76" s="5"/>
      <c r="CG76" s="5"/>
      <c r="CH76" s="5"/>
      <c r="CI76" s="5"/>
      <c r="CJ76" s="5"/>
      <c r="CK76" s="5"/>
      <c r="CL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</row>
    <row r="77" spans="1:202" ht="3.9" customHeight="1" x14ac:dyDescent="0.25">
      <c r="E77" s="9" t="s">
        <v>9</v>
      </c>
      <c r="F77" s="54"/>
      <c r="G77" s="190"/>
      <c r="H77" s="190"/>
      <c r="I77" s="190"/>
      <c r="J77" s="190"/>
      <c r="K77" s="190"/>
      <c r="L77" s="190"/>
      <c r="M77" s="190"/>
      <c r="N77" s="190"/>
      <c r="O77" s="190"/>
      <c r="P77" s="190"/>
      <c r="Q77" s="190"/>
      <c r="R77" s="190"/>
      <c r="S77" s="190"/>
      <c r="T77" s="190"/>
      <c r="U77" s="190"/>
      <c r="V77" s="190"/>
      <c r="W77" s="190"/>
      <c r="X77" s="190"/>
      <c r="Y77" s="190"/>
      <c r="Z77" s="190"/>
      <c r="AA77" s="190"/>
      <c r="AB77" s="190"/>
      <c r="AC77" s="190"/>
      <c r="AD77" s="190"/>
      <c r="AE77" s="190"/>
      <c r="AF77" s="190"/>
      <c r="AG77" s="190"/>
      <c r="AH77" s="190"/>
      <c r="AI77" s="190"/>
      <c r="AJ77" s="190"/>
      <c r="AK77" s="190"/>
      <c r="AL77" s="190"/>
      <c r="AM77" s="190"/>
      <c r="AN77" s="190"/>
      <c r="AO77" s="190"/>
      <c r="AP77" s="190"/>
      <c r="AQ77" s="190"/>
      <c r="AR77" s="190"/>
      <c r="AS77" s="11"/>
      <c r="AT77" s="11"/>
      <c r="AU77" s="11"/>
      <c r="AV77" s="11"/>
      <c r="AW77" s="11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/>
      <c r="BS77" s="438"/>
      <c r="BT77" s="439"/>
      <c r="BU77" s="439"/>
      <c r="BV77" s="439"/>
      <c r="BW77" s="439"/>
      <c r="BX77" s="439"/>
      <c r="BY77" s="439"/>
      <c r="BZ77" s="439"/>
      <c r="CA77" s="439"/>
      <c r="CB77" s="439"/>
      <c r="CC77" s="440"/>
      <c r="CD77" s="5"/>
      <c r="CE77" s="5"/>
      <c r="CF77" s="5"/>
      <c r="CG77" s="5"/>
      <c r="CH77" s="5"/>
      <c r="CI77" s="5"/>
      <c r="CJ77" s="5"/>
      <c r="CK77" s="5"/>
      <c r="CL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</row>
    <row r="78" spans="1:202" ht="11.1" customHeight="1" thickBot="1" x14ac:dyDescent="0.3">
      <c r="G78" s="245" t="s">
        <v>89</v>
      </c>
      <c r="H78" s="246"/>
      <c r="I78" s="246"/>
      <c r="J78" s="246"/>
      <c r="K78" s="246"/>
      <c r="L78" s="246"/>
      <c r="M78" s="246"/>
      <c r="N78" s="246"/>
      <c r="O78" s="246"/>
      <c r="P78" s="246"/>
      <c r="Q78" s="246"/>
      <c r="R78" s="246"/>
      <c r="S78" s="246"/>
      <c r="T78" s="246"/>
      <c r="U78" s="246"/>
      <c r="V78" s="246"/>
      <c r="W78" s="246"/>
      <c r="X78" s="246"/>
      <c r="Y78" s="246"/>
      <c r="Z78" s="246"/>
      <c r="AA78" s="246"/>
      <c r="AB78" s="246"/>
      <c r="AC78" s="246"/>
      <c r="AD78" s="246"/>
      <c r="AE78" s="246"/>
      <c r="AF78" s="246"/>
      <c r="AG78" s="246"/>
      <c r="AH78" s="246"/>
      <c r="AI78" s="246"/>
      <c r="AJ78" s="246"/>
      <c r="AK78" s="246"/>
      <c r="AL78" s="246"/>
      <c r="AM78" s="246"/>
      <c r="AN78" s="246"/>
      <c r="AO78" s="246"/>
      <c r="AP78" s="246"/>
      <c r="AQ78" s="246"/>
      <c r="AR78" s="246"/>
      <c r="AS78" s="246"/>
      <c r="AT78" s="246"/>
      <c r="AU78" s="246"/>
      <c r="AV78" s="246"/>
      <c r="AW78" s="247"/>
      <c r="AY78" s="5"/>
      <c r="AZ78" s="5"/>
      <c r="BA78" s="5"/>
      <c r="BB78" s="5" t="str">
        <f>Lista!R2</f>
        <v>Conv:Alvenaria estrutural</v>
      </c>
      <c r="BC78" s="5"/>
      <c r="BD78" s="5"/>
      <c r="BE78" s="5"/>
      <c r="BF78" s="5"/>
      <c r="BG78" s="5"/>
      <c r="BH78" s="5"/>
      <c r="BI78" s="5"/>
      <c r="BJ78" s="5"/>
      <c r="BR78"/>
      <c r="BS78" s="441"/>
      <c r="BT78" s="442"/>
      <c r="BU78" s="442"/>
      <c r="BV78" s="442"/>
      <c r="BW78" s="442"/>
      <c r="BX78" s="442"/>
      <c r="BY78" s="442"/>
      <c r="BZ78" s="442"/>
      <c r="CA78" s="442"/>
      <c r="CB78" s="442"/>
      <c r="CC78" s="443"/>
      <c r="CD78" s="5"/>
      <c r="CE78" s="5"/>
      <c r="CF78" s="5"/>
      <c r="CG78" s="5"/>
      <c r="CH78" s="5"/>
      <c r="CI78" s="5"/>
      <c r="CJ78" s="5"/>
      <c r="CK78" s="5"/>
      <c r="CL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</row>
    <row r="79" spans="1:202" ht="11.1" customHeight="1" thickTop="1" x14ac:dyDescent="0.25">
      <c r="G79" s="212" t="s">
        <v>334</v>
      </c>
      <c r="H79" s="213"/>
      <c r="I79" s="213"/>
      <c r="J79" s="213"/>
      <c r="K79" s="213"/>
      <c r="L79" s="213"/>
      <c r="M79" s="213"/>
      <c r="N79" s="213"/>
      <c r="O79" s="213"/>
      <c r="P79" s="213"/>
      <c r="Q79" s="213"/>
      <c r="R79" s="213"/>
      <c r="S79" s="213"/>
      <c r="T79" s="213"/>
      <c r="U79" s="213"/>
      <c r="V79" s="213"/>
      <c r="W79" s="213"/>
      <c r="X79" s="213"/>
      <c r="Y79" s="275"/>
      <c r="Z79" s="275"/>
      <c r="AA79" s="213"/>
      <c r="AB79" s="213"/>
      <c r="AC79" s="213"/>
      <c r="AD79" s="213"/>
      <c r="AE79" s="213"/>
      <c r="AF79" s="213"/>
      <c r="AG79" s="213"/>
      <c r="AH79" s="213"/>
      <c r="AI79" s="213"/>
      <c r="AJ79" s="213"/>
      <c r="AK79" s="213"/>
      <c r="AL79" s="213"/>
      <c r="AM79" s="213"/>
      <c r="AN79" s="214"/>
      <c r="AO79" s="254" t="s">
        <v>352</v>
      </c>
      <c r="AP79" s="255"/>
      <c r="AQ79" s="255"/>
      <c r="AR79" s="255"/>
      <c r="AS79" s="255"/>
      <c r="AT79" s="256"/>
      <c r="AU79" s="218"/>
      <c r="AV79" s="219"/>
      <c r="AW79" s="220"/>
      <c r="AY79" s="5"/>
      <c r="AZ79" s="5"/>
      <c r="BA79" s="5"/>
      <c r="BB79" s="5" t="str">
        <f>Lista!R3</f>
        <v>Conv:Aço estrutural/Blcs.vedação</v>
      </c>
      <c r="BC79" s="5"/>
      <c r="BD79" s="5"/>
      <c r="BE79" s="5"/>
      <c r="BF79" s="5"/>
      <c r="BG79" s="5"/>
      <c r="BH79" s="5"/>
      <c r="BI79" s="5"/>
      <c r="BJ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</row>
    <row r="80" spans="1:202" ht="11.1" customHeight="1" x14ac:dyDescent="0.25">
      <c r="G80" s="221" t="s">
        <v>85</v>
      </c>
      <c r="H80" s="222"/>
      <c r="I80" s="222"/>
      <c r="J80" s="222"/>
      <c r="K80" s="222"/>
      <c r="L80" s="222"/>
      <c r="M80" s="222" t="s">
        <v>85</v>
      </c>
      <c r="N80" s="222"/>
      <c r="O80" s="222"/>
      <c r="P80" s="222"/>
      <c r="Q80" s="222"/>
      <c r="R80" s="222"/>
      <c r="S80" s="222"/>
      <c r="T80" s="222"/>
      <c r="U80" s="223"/>
      <c r="V80" s="221" t="s">
        <v>83</v>
      </c>
      <c r="W80" s="222"/>
      <c r="X80" s="222"/>
      <c r="Y80" s="222"/>
      <c r="Z80" s="222"/>
      <c r="AA80" s="222"/>
      <c r="AB80" s="223"/>
      <c r="AC80" s="221" t="s">
        <v>353</v>
      </c>
      <c r="AD80" s="222"/>
      <c r="AE80" s="223"/>
      <c r="AF80" s="221" t="s">
        <v>354</v>
      </c>
      <c r="AG80" s="222"/>
      <c r="AH80" s="223"/>
      <c r="AI80" s="221" t="s">
        <v>454</v>
      </c>
      <c r="AJ80" s="222"/>
      <c r="AK80" s="223"/>
      <c r="AL80" s="221" t="s">
        <v>355</v>
      </c>
      <c r="AM80" s="222"/>
      <c r="AN80" s="223"/>
      <c r="AO80" s="221" t="s">
        <v>356</v>
      </c>
      <c r="AP80" s="222"/>
      <c r="AQ80" s="223"/>
      <c r="AR80" s="584" t="s">
        <v>357</v>
      </c>
      <c r="AS80" s="585"/>
      <c r="AT80" s="585"/>
      <c r="AU80" s="585"/>
      <c r="AV80" s="585"/>
      <c r="AW80" s="586"/>
      <c r="AY80" s="5"/>
      <c r="AZ80" s="5"/>
      <c r="BA80" s="5"/>
      <c r="BB80" s="5" t="str">
        <f>Lista!R4</f>
        <v>Conv:Estrutura de concreto/Blcs.vedação</v>
      </c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107"/>
      <c r="BT80" s="106"/>
      <c r="BU80" s="106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</row>
    <row r="81" spans="5:202" ht="11.1" customHeight="1" x14ac:dyDescent="0.3">
      <c r="G81" s="218"/>
      <c r="H81" s="219"/>
      <c r="I81" s="219"/>
      <c r="J81" s="219"/>
      <c r="K81" s="219"/>
      <c r="L81" s="219"/>
      <c r="M81" s="219"/>
      <c r="N81" s="219"/>
      <c r="O81" s="219"/>
      <c r="P81" s="219"/>
      <c r="Q81" s="219"/>
      <c r="R81" s="219"/>
      <c r="S81" s="219"/>
      <c r="T81" s="219"/>
      <c r="U81" s="234"/>
      <c r="V81" s="218"/>
      <c r="W81" s="219"/>
      <c r="X81" s="219"/>
      <c r="Y81" s="219"/>
      <c r="Z81" s="219"/>
      <c r="AA81" s="219"/>
      <c r="AB81" s="220"/>
      <c r="AC81" s="235"/>
      <c r="AD81" s="235"/>
      <c r="AE81" s="235"/>
      <c r="AF81" s="235"/>
      <c r="AG81" s="235"/>
      <c r="AH81" s="235"/>
      <c r="AI81" s="235"/>
      <c r="AJ81" s="235"/>
      <c r="AK81" s="235"/>
      <c r="AL81" s="235"/>
      <c r="AM81" s="235"/>
      <c r="AN81" s="235"/>
      <c r="AO81" s="235"/>
      <c r="AP81" s="235"/>
      <c r="AQ81" s="235"/>
      <c r="AR81" s="251"/>
      <c r="AS81" s="252"/>
      <c r="AT81" s="252"/>
      <c r="AU81" s="252"/>
      <c r="AV81" s="252"/>
      <c r="AW81" s="253"/>
      <c r="AY81" s="5"/>
      <c r="AZ81" s="5"/>
      <c r="BA81" s="5"/>
      <c r="BB81" s="5" t="str">
        <f>Lista!R5</f>
        <v>Conv:Estrutura de madeira/Blcs.vedação</v>
      </c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108"/>
      <c r="BT81" s="106"/>
      <c r="BU81" s="106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X81" s="5"/>
      <c r="CY81" s="5"/>
      <c r="CZ81" s="5"/>
      <c r="DA81" s="5"/>
      <c r="DB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</row>
    <row r="82" spans="5:202" ht="11.1" customHeight="1" x14ac:dyDescent="0.25">
      <c r="G82" s="215" t="s">
        <v>229</v>
      </c>
      <c r="H82" s="216"/>
      <c r="I82" s="216"/>
      <c r="J82" s="216"/>
      <c r="K82" s="216"/>
      <c r="L82" s="216"/>
      <c r="M82" s="216"/>
      <c r="N82" s="216"/>
      <c r="O82" s="216"/>
      <c r="P82" s="216"/>
      <c r="Q82" s="216"/>
      <c r="R82" s="216"/>
      <c r="S82" s="216"/>
      <c r="T82" s="216"/>
      <c r="U82" s="217"/>
      <c r="V82" s="215" t="s">
        <v>64</v>
      </c>
      <c r="W82" s="216"/>
      <c r="X82" s="216"/>
      <c r="Y82" s="216"/>
      <c r="Z82" s="216"/>
      <c r="AA82" s="216"/>
      <c r="AB82" s="217"/>
      <c r="AC82" s="221" t="s">
        <v>343</v>
      </c>
      <c r="AD82" s="222"/>
      <c r="AE82" s="222"/>
      <c r="AF82" s="222"/>
      <c r="AG82" s="222"/>
      <c r="AH82" s="223"/>
      <c r="AI82" s="249" t="s">
        <v>358</v>
      </c>
      <c r="AJ82" s="216"/>
      <c r="AK82" s="216"/>
      <c r="AL82" s="216"/>
      <c r="AM82" s="216"/>
      <c r="AN82" s="216"/>
      <c r="AO82" s="250"/>
      <c r="AP82" s="249" t="s">
        <v>349</v>
      </c>
      <c r="AQ82" s="216"/>
      <c r="AR82" s="216"/>
      <c r="AS82" s="216"/>
      <c r="AT82" s="216"/>
      <c r="AU82" s="216"/>
      <c r="AV82" s="216"/>
      <c r="AW82" s="250"/>
      <c r="AY82" s="5"/>
      <c r="AZ82" s="5"/>
      <c r="BA82" s="5"/>
      <c r="BB82" s="5" t="str">
        <f>Lista!R6</f>
        <v>Conv:Paredes de concreto NBR nº 16055/16475</v>
      </c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109"/>
      <c r="BT82" s="106"/>
      <c r="BU82" s="106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X82" s="5"/>
      <c r="CY82" s="5"/>
      <c r="CZ82" s="5"/>
      <c r="DA82" s="5"/>
      <c r="DB82" s="5"/>
      <c r="DC82" s="5"/>
      <c r="DD82" s="5"/>
      <c r="DE82" s="5"/>
      <c r="DF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</row>
    <row r="83" spans="5:202" ht="11.1" customHeight="1" x14ac:dyDescent="0.25">
      <c r="G83" s="218"/>
      <c r="H83" s="219"/>
      <c r="I83" s="219"/>
      <c r="J83" s="219"/>
      <c r="K83" s="219"/>
      <c r="L83" s="219"/>
      <c r="M83" s="219"/>
      <c r="N83" s="219"/>
      <c r="O83" s="219"/>
      <c r="P83" s="219"/>
      <c r="Q83" s="219"/>
      <c r="R83" s="219"/>
      <c r="S83" s="219"/>
      <c r="T83" s="219"/>
      <c r="U83" s="234"/>
      <c r="V83" s="218"/>
      <c r="W83" s="219"/>
      <c r="X83" s="219"/>
      <c r="Y83" s="219"/>
      <c r="Z83" s="219"/>
      <c r="AA83" s="219"/>
      <c r="AB83" s="220"/>
      <c r="AC83" s="248"/>
      <c r="AD83" s="248"/>
      <c r="AE83" s="248"/>
      <c r="AF83" s="248"/>
      <c r="AG83" s="248"/>
      <c r="AH83" s="248"/>
      <c r="AI83" s="251"/>
      <c r="AJ83" s="252"/>
      <c r="AK83" s="252"/>
      <c r="AL83" s="252"/>
      <c r="AM83" s="252"/>
      <c r="AN83" s="252"/>
      <c r="AO83" s="253"/>
      <c r="AP83" s="251"/>
      <c r="AQ83" s="252"/>
      <c r="AR83" s="252"/>
      <c r="AS83" s="252"/>
      <c r="AT83" s="252"/>
      <c r="AU83" s="252"/>
      <c r="AV83" s="252"/>
      <c r="AW83" s="253"/>
      <c r="AY83" s="5"/>
      <c r="AZ83" s="5"/>
      <c r="BA83" s="5"/>
      <c r="BB83" s="5" t="str">
        <f>Lista!R7</f>
        <v>Conv:Wood Framing</v>
      </c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109"/>
      <c r="BT83" s="106"/>
      <c r="BU83" s="12"/>
      <c r="BV83" s="12"/>
      <c r="BW83" s="12"/>
      <c r="BX83" s="12"/>
      <c r="BY83" s="12"/>
      <c r="BZ83" s="12"/>
      <c r="CA83" s="12"/>
      <c r="CB83" s="12"/>
      <c r="CC83" s="12"/>
      <c r="CD83" s="12"/>
      <c r="CE83" s="12"/>
      <c r="CF83" s="12"/>
      <c r="CG83" s="12"/>
      <c r="CH83" s="12"/>
      <c r="CI83" s="12"/>
      <c r="CJ83" s="12"/>
      <c r="CK83" s="12"/>
      <c r="CL83" s="12"/>
      <c r="CX83" s="5"/>
      <c r="CY83" s="5"/>
      <c r="CZ83" s="5"/>
      <c r="DA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</row>
    <row r="84" spans="5:202" ht="11.1" customHeight="1" x14ac:dyDescent="0.25">
      <c r="G84" s="215" t="s">
        <v>231</v>
      </c>
      <c r="H84" s="216"/>
      <c r="I84" s="216"/>
      <c r="J84" s="216"/>
      <c r="K84" s="216"/>
      <c r="L84" s="216"/>
      <c r="M84" s="216"/>
      <c r="N84" s="216"/>
      <c r="O84" s="216"/>
      <c r="P84" s="216"/>
      <c r="Q84" s="216"/>
      <c r="R84" s="216"/>
      <c r="S84" s="216"/>
      <c r="T84" s="216"/>
      <c r="U84" s="217"/>
      <c r="V84" s="215" t="s">
        <v>317</v>
      </c>
      <c r="W84" s="216"/>
      <c r="X84" s="216"/>
      <c r="Y84" s="216"/>
      <c r="Z84" s="216"/>
      <c r="AA84" s="216"/>
      <c r="AB84" s="217"/>
      <c r="AC84" s="221" t="s">
        <v>362</v>
      </c>
      <c r="AD84" s="222"/>
      <c r="AE84" s="222"/>
      <c r="AF84" s="222"/>
      <c r="AG84" s="223"/>
      <c r="AH84" s="221" t="s">
        <v>363</v>
      </c>
      <c r="AI84" s="222"/>
      <c r="AJ84" s="222"/>
      <c r="AK84" s="222"/>
      <c r="AL84" s="223"/>
      <c r="AM84" s="249" t="s">
        <v>455</v>
      </c>
      <c r="AN84" s="216"/>
      <c r="AO84" s="216"/>
      <c r="AP84" s="216"/>
      <c r="AQ84" s="216"/>
      <c r="AR84" s="216"/>
      <c r="AS84" s="216"/>
      <c r="AT84" s="216"/>
      <c r="AU84" s="216"/>
      <c r="AV84" s="216"/>
      <c r="AW84" s="250"/>
      <c r="AY84" s="5"/>
      <c r="AZ84" s="5"/>
      <c r="BA84" s="5"/>
      <c r="BB84" s="5" t="str">
        <f>Lista!R8</f>
        <v>Conv:Steel Framing</v>
      </c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109"/>
      <c r="BT84" s="106"/>
      <c r="BU84" s="12"/>
      <c r="BV84" s="12"/>
      <c r="BW84" s="12"/>
      <c r="BX84" s="12"/>
      <c r="BY84" s="12"/>
      <c r="BZ84" s="12"/>
      <c r="CA84" s="12"/>
      <c r="CB84" s="12"/>
      <c r="CC84" s="12"/>
      <c r="CD84" s="12"/>
      <c r="CE84" s="12"/>
      <c r="CF84" s="12"/>
      <c r="CG84" s="12"/>
      <c r="CH84" s="12"/>
      <c r="CI84" s="12"/>
      <c r="CJ84" s="12"/>
      <c r="CK84" s="12"/>
      <c r="CL84" s="12"/>
      <c r="CX84" s="5"/>
      <c r="CY84" s="5"/>
      <c r="CZ84" s="5"/>
      <c r="DA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</row>
    <row r="85" spans="5:202" ht="11.1" customHeight="1" x14ac:dyDescent="0.25">
      <c r="G85" s="218"/>
      <c r="H85" s="219"/>
      <c r="I85" s="219"/>
      <c r="J85" s="219"/>
      <c r="K85" s="219"/>
      <c r="L85" s="219"/>
      <c r="M85" s="219"/>
      <c r="N85" s="219"/>
      <c r="O85" s="219"/>
      <c r="P85" s="219"/>
      <c r="Q85" s="219"/>
      <c r="R85" s="219"/>
      <c r="S85" s="219"/>
      <c r="T85" s="219"/>
      <c r="U85" s="234"/>
      <c r="V85" s="218"/>
      <c r="W85" s="219"/>
      <c r="X85" s="219"/>
      <c r="Y85" s="219"/>
      <c r="Z85" s="219"/>
      <c r="AA85" s="219"/>
      <c r="AB85" s="220"/>
      <c r="AC85" s="248"/>
      <c r="AD85" s="248"/>
      <c r="AE85" s="248"/>
      <c r="AF85" s="248"/>
      <c r="AG85" s="248"/>
      <c r="AH85" s="248"/>
      <c r="AI85" s="248"/>
      <c r="AJ85" s="248"/>
      <c r="AK85" s="248"/>
      <c r="AL85" s="248"/>
      <c r="AM85" s="251"/>
      <c r="AN85" s="252"/>
      <c r="AO85" s="252"/>
      <c r="AP85" s="252"/>
      <c r="AQ85" s="252"/>
      <c r="AR85" s="252"/>
      <c r="AS85" s="252"/>
      <c r="AT85" s="252"/>
      <c r="AU85" s="252"/>
      <c r="AV85" s="252"/>
      <c r="AW85" s="253"/>
      <c r="AY85" s="5"/>
      <c r="AZ85" s="5"/>
      <c r="BA85" s="5"/>
      <c r="BB85" s="5" t="str">
        <f>Lista!R9</f>
        <v>Conv:Vedação Painel leve modular_NBR 17073</v>
      </c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109"/>
      <c r="BT85" s="106"/>
      <c r="BU85" s="12"/>
      <c r="BV85" s="12"/>
      <c r="BW85" s="12"/>
      <c r="BX85" s="12"/>
      <c r="BY85" s="12"/>
      <c r="BZ85" s="12"/>
      <c r="CA85" s="12"/>
      <c r="CB85" s="12"/>
      <c r="CC85" s="12"/>
      <c r="CD85" s="12"/>
      <c r="CE85" s="12"/>
      <c r="CF85" s="12"/>
      <c r="CG85" s="12"/>
      <c r="CH85" s="12"/>
      <c r="CI85" s="12"/>
      <c r="CJ85" s="12"/>
      <c r="CK85" s="12"/>
      <c r="CL85" s="12"/>
      <c r="CX85" s="5"/>
      <c r="CY85" s="5"/>
      <c r="CZ85" s="5"/>
      <c r="DA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</row>
    <row r="86" spans="5:202" ht="11.1" customHeight="1" x14ac:dyDescent="0.25">
      <c r="G86" s="215" t="s">
        <v>320</v>
      </c>
      <c r="H86" s="216"/>
      <c r="I86" s="216"/>
      <c r="J86" s="216"/>
      <c r="K86" s="216"/>
      <c r="L86" s="216"/>
      <c r="M86" s="216"/>
      <c r="N86" s="217"/>
      <c r="O86" s="215" t="s">
        <v>319</v>
      </c>
      <c r="P86" s="216"/>
      <c r="Q86" s="216"/>
      <c r="R86" s="216"/>
      <c r="S86" s="216"/>
      <c r="T86" s="216"/>
      <c r="U86" s="217"/>
      <c r="V86" s="215" t="s">
        <v>318</v>
      </c>
      <c r="W86" s="216"/>
      <c r="X86" s="216"/>
      <c r="Y86" s="216"/>
      <c r="Z86" s="216"/>
      <c r="AA86" s="216"/>
      <c r="AB86" s="217"/>
      <c r="AC86" s="423" t="s">
        <v>84</v>
      </c>
      <c r="AD86" s="424"/>
      <c r="AE86" s="424"/>
      <c r="AF86" s="424"/>
      <c r="AG86" s="424"/>
      <c r="AH86" s="424"/>
      <c r="AI86" s="424"/>
      <c r="AJ86" s="424"/>
      <c r="AK86" s="424"/>
      <c r="AL86" s="424"/>
      <c r="AM86" s="424"/>
      <c r="AN86" s="424"/>
      <c r="AO86" s="424"/>
      <c r="AP86" s="424"/>
      <c r="AQ86" s="424"/>
      <c r="AR86" s="424"/>
      <c r="AS86" s="424"/>
      <c r="AT86" s="424"/>
      <c r="AU86" s="424"/>
      <c r="AV86" s="424"/>
      <c r="AW86" s="425"/>
      <c r="AY86" s="5"/>
      <c r="AZ86" s="5"/>
      <c r="BA86" s="5"/>
      <c r="BB86" s="5" t="str">
        <f>Lista!R10</f>
        <v>Inov:Parede moldada local c/componente de EPS</v>
      </c>
      <c r="BC86" s="5"/>
      <c r="BD86" s="5"/>
      <c r="BE86" s="5"/>
      <c r="BF86" s="5"/>
      <c r="BG86" s="5"/>
      <c r="BH86" s="5"/>
      <c r="BI86" s="5"/>
      <c r="BJ86" s="5"/>
      <c r="BO86" s="5"/>
      <c r="BP86" s="5"/>
      <c r="BQ86" s="5"/>
      <c r="BR86" s="5"/>
      <c r="BS86" s="109"/>
      <c r="BT86" s="106"/>
      <c r="BU86" s="12"/>
      <c r="BV86" s="12"/>
      <c r="BW86" s="12"/>
      <c r="BX86" s="12"/>
      <c r="BY86" s="12"/>
      <c r="BZ86" s="12"/>
      <c r="CA86" s="12"/>
      <c r="CB86" s="12"/>
      <c r="CC86" s="12"/>
      <c r="CD86" s="12"/>
      <c r="CE86" s="12"/>
      <c r="CF86" s="12"/>
      <c r="CG86" s="12"/>
      <c r="CH86" s="12"/>
      <c r="CI86" s="12"/>
      <c r="CJ86" s="12"/>
      <c r="CK86" s="12"/>
      <c r="CL86" s="12"/>
      <c r="CX86" s="5"/>
      <c r="CY86" s="5"/>
      <c r="CZ86" s="5"/>
      <c r="DA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</row>
    <row r="87" spans="5:202" ht="11.1" customHeight="1" x14ac:dyDescent="0.3">
      <c r="G87" s="218"/>
      <c r="H87" s="219"/>
      <c r="I87" s="219"/>
      <c r="J87" s="219"/>
      <c r="K87" s="219"/>
      <c r="L87" s="219"/>
      <c r="M87" s="219"/>
      <c r="N87" s="234"/>
      <c r="O87" s="218"/>
      <c r="P87" s="219"/>
      <c r="Q87" s="219"/>
      <c r="R87" s="219"/>
      <c r="S87" s="219"/>
      <c r="T87" s="219"/>
      <c r="U87" s="234"/>
      <c r="V87" s="218"/>
      <c r="W87" s="219"/>
      <c r="X87" s="219"/>
      <c r="Y87" s="219"/>
      <c r="Z87" s="219"/>
      <c r="AA87" s="219"/>
      <c r="AB87" s="220"/>
      <c r="AC87" s="229"/>
      <c r="AD87" s="229"/>
      <c r="AE87" s="229"/>
      <c r="AF87" s="229"/>
      <c r="AG87" s="229"/>
      <c r="AH87" s="229"/>
      <c r="AI87" s="229"/>
      <c r="AJ87" s="229"/>
      <c r="AK87" s="229"/>
      <c r="AL87" s="229"/>
      <c r="AM87" s="229"/>
      <c r="AN87" s="229"/>
      <c r="AO87" s="229"/>
      <c r="AP87" s="229"/>
      <c r="AQ87" s="229"/>
      <c r="AR87" s="229"/>
      <c r="AS87" s="229"/>
      <c r="AT87" s="229"/>
      <c r="AU87" s="229"/>
      <c r="AV87" s="229"/>
      <c r="AW87" s="230"/>
      <c r="AY87" s="5"/>
      <c r="AZ87" s="5"/>
      <c r="BA87" s="5"/>
      <c r="BB87" s="5" t="str">
        <f>Lista!R11</f>
        <v>Inov:Parede com blocos de EPS</v>
      </c>
      <c r="BC87" s="5"/>
      <c r="BD87" s="5"/>
      <c r="BE87" s="5"/>
      <c r="BF87" s="5"/>
      <c r="BG87" s="5"/>
      <c r="BO87" s="5"/>
      <c r="BP87" s="5"/>
      <c r="BQ87" s="5"/>
      <c r="BR87" s="5"/>
      <c r="BS87" s="110"/>
      <c r="BT87" s="106"/>
      <c r="BU87" s="12"/>
      <c r="BV87" s="12"/>
      <c r="BW87" s="12"/>
      <c r="BX87" s="12"/>
      <c r="BY87" s="12"/>
      <c r="BZ87" s="12"/>
      <c r="CA87" s="12"/>
      <c r="CB87" s="12"/>
      <c r="CC87" s="12"/>
      <c r="CD87" s="12"/>
      <c r="CE87" s="12"/>
      <c r="CF87" s="12"/>
      <c r="CG87" s="12"/>
      <c r="CH87" s="12"/>
      <c r="CI87" s="12"/>
      <c r="CJ87" s="12"/>
      <c r="CK87" s="12"/>
      <c r="CL87" s="12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</row>
    <row r="88" spans="5:202" ht="11.1" customHeight="1" x14ac:dyDescent="0.25">
      <c r="G88" s="215" t="s">
        <v>245</v>
      </c>
      <c r="H88" s="216"/>
      <c r="I88" s="216"/>
      <c r="J88" s="216"/>
      <c r="K88" s="216"/>
      <c r="L88" s="216"/>
      <c r="M88" s="216"/>
      <c r="N88" s="217"/>
      <c r="O88" s="215" t="s">
        <v>234</v>
      </c>
      <c r="P88" s="216"/>
      <c r="Q88" s="216"/>
      <c r="R88" s="216"/>
      <c r="S88" s="216"/>
      <c r="T88" s="216"/>
      <c r="U88" s="217"/>
      <c r="V88" s="215" t="s">
        <v>310</v>
      </c>
      <c r="W88" s="216"/>
      <c r="X88" s="216"/>
      <c r="Y88" s="216"/>
      <c r="Z88" s="216"/>
      <c r="AA88" s="216"/>
      <c r="AB88" s="217"/>
      <c r="AC88" s="231"/>
      <c r="AD88" s="231"/>
      <c r="AE88" s="231"/>
      <c r="AF88" s="231"/>
      <c r="AG88" s="231"/>
      <c r="AH88" s="231"/>
      <c r="AI88" s="231"/>
      <c r="AJ88" s="231"/>
      <c r="AK88" s="231"/>
      <c r="AL88" s="231"/>
      <c r="AM88" s="231"/>
      <c r="AN88" s="231"/>
      <c r="AO88" s="231"/>
      <c r="AP88" s="231"/>
      <c r="AQ88" s="231"/>
      <c r="AR88" s="231"/>
      <c r="AS88" s="231"/>
      <c r="AT88" s="231"/>
      <c r="AU88" s="231"/>
      <c r="AV88" s="231"/>
      <c r="AW88" s="232"/>
      <c r="AY88" s="5"/>
      <c r="AZ88" s="5"/>
      <c r="BA88" s="5"/>
      <c r="BB88" s="5" t="str">
        <f>Lista!R12</f>
        <v>Inov:Madeira (componente de vedação)</v>
      </c>
      <c r="BC88" s="5"/>
      <c r="BD88" s="5"/>
      <c r="BE88" s="5"/>
      <c r="BF88" s="5"/>
      <c r="BG88" s="5"/>
      <c r="BO88" s="5"/>
      <c r="BP88" s="5"/>
      <c r="BQ88" s="5"/>
      <c r="BR88" s="5"/>
      <c r="BS88" s="109"/>
      <c r="BT88" s="106"/>
      <c r="BU88" s="106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</row>
    <row r="89" spans="5:202" ht="11.1" customHeight="1" x14ac:dyDescent="0.3">
      <c r="G89" s="218"/>
      <c r="H89" s="219"/>
      <c r="I89" s="219"/>
      <c r="J89" s="219"/>
      <c r="K89" s="219"/>
      <c r="L89" s="219"/>
      <c r="M89" s="219"/>
      <c r="N89" s="234"/>
      <c r="O89" s="551"/>
      <c r="P89" s="552"/>
      <c r="Q89" s="552"/>
      <c r="R89" s="552"/>
      <c r="S89" s="552"/>
      <c r="T89" s="552"/>
      <c r="U89" s="553"/>
      <c r="V89" s="218"/>
      <c r="W89" s="219"/>
      <c r="X89" s="219"/>
      <c r="Y89" s="219"/>
      <c r="Z89" s="219"/>
      <c r="AA89" s="219"/>
      <c r="AB89" s="220"/>
      <c r="AC89" s="236" t="s">
        <v>192</v>
      </c>
      <c r="AD89" s="237"/>
      <c r="AE89" s="237"/>
      <c r="AF89" s="237"/>
      <c r="AG89" s="237"/>
      <c r="AH89" s="237"/>
      <c r="AI89" s="237"/>
      <c r="AJ89" s="237"/>
      <c r="AK89" s="237"/>
      <c r="AL89" s="237"/>
      <c r="AM89" s="237"/>
      <c r="AN89" s="237"/>
      <c r="AO89" s="237"/>
      <c r="AP89" s="237"/>
      <c r="AQ89" s="237"/>
      <c r="AR89" s="237"/>
      <c r="AS89" s="237"/>
      <c r="AT89" s="237"/>
      <c r="AU89" s="237"/>
      <c r="AV89" s="237"/>
      <c r="AW89" s="238"/>
      <c r="AY89" s="5"/>
      <c r="AZ89" s="5"/>
      <c r="BA89" s="5"/>
      <c r="BB89" s="5" t="str">
        <f>Lista!R13</f>
        <v>Outros</v>
      </c>
      <c r="BC89" s="5"/>
      <c r="BD89" s="5"/>
      <c r="BE89" s="5"/>
      <c r="BF89" s="5"/>
      <c r="BG89" s="5"/>
      <c r="BO89" s="5"/>
      <c r="BP89" s="5"/>
      <c r="BQ89" s="5"/>
      <c r="BR89" s="5"/>
      <c r="BS89" s="110"/>
      <c r="BT89" s="106"/>
      <c r="BU89" s="106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</row>
    <row r="90" spans="5:202" ht="11.1" customHeight="1" x14ac:dyDescent="0.25">
      <c r="G90" s="215" t="s">
        <v>311</v>
      </c>
      <c r="H90" s="216"/>
      <c r="I90" s="216"/>
      <c r="J90" s="216"/>
      <c r="K90" s="216"/>
      <c r="L90" s="216"/>
      <c r="M90" s="216"/>
      <c r="N90" s="217"/>
      <c r="O90" s="215" t="s">
        <v>322</v>
      </c>
      <c r="P90" s="216"/>
      <c r="Q90" s="216"/>
      <c r="R90" s="216"/>
      <c r="S90" s="216"/>
      <c r="T90" s="216"/>
      <c r="U90" s="217"/>
      <c r="V90" s="215" t="s">
        <v>323</v>
      </c>
      <c r="W90" s="216"/>
      <c r="X90" s="216"/>
      <c r="Y90" s="216"/>
      <c r="Z90" s="216"/>
      <c r="AA90" s="216"/>
      <c r="AB90" s="217"/>
      <c r="AC90" s="229"/>
      <c r="AD90" s="229"/>
      <c r="AE90" s="229"/>
      <c r="AF90" s="229"/>
      <c r="AG90" s="229"/>
      <c r="AH90" s="229"/>
      <c r="AI90" s="229"/>
      <c r="AJ90" s="229"/>
      <c r="AK90" s="229"/>
      <c r="AL90" s="229"/>
      <c r="AM90" s="229"/>
      <c r="AN90" s="229"/>
      <c r="AO90" s="229"/>
      <c r="AP90" s="229"/>
      <c r="AQ90" s="229"/>
      <c r="AR90" s="229"/>
      <c r="AS90" s="229"/>
      <c r="AT90" s="229"/>
      <c r="AU90" s="229"/>
      <c r="AV90" s="229"/>
      <c r="AW90" s="230"/>
      <c r="AY90" s="5"/>
      <c r="AZ90" s="5"/>
      <c r="BA90" s="5"/>
      <c r="BB90" s="5"/>
      <c r="BC90" s="5"/>
      <c r="BD90" s="5"/>
      <c r="BE90" s="5"/>
      <c r="BF90" s="5"/>
      <c r="BG90" s="5"/>
      <c r="BH90" s="12"/>
      <c r="BI90" s="12"/>
      <c r="BJ90" s="12"/>
      <c r="BK90" s="12"/>
      <c r="BL90" s="12"/>
      <c r="BM90" s="12"/>
      <c r="BN90" s="12"/>
      <c r="BO90" s="5"/>
      <c r="BP90" s="5"/>
      <c r="BQ90" s="5"/>
      <c r="BR90" s="5"/>
      <c r="BS90" s="109"/>
      <c r="BT90" s="106"/>
      <c r="BU90" s="106"/>
      <c r="BV90" s="5"/>
      <c r="BW90" s="12"/>
      <c r="BX90" s="12"/>
      <c r="BY90" s="12"/>
      <c r="BZ90" s="12"/>
      <c r="CA90" s="12"/>
      <c r="CB90" s="12"/>
      <c r="CC90" s="12"/>
      <c r="CD90" s="12"/>
      <c r="CE90" s="12"/>
      <c r="CF90" s="12"/>
      <c r="CG90" s="12"/>
      <c r="CH90" s="12"/>
      <c r="CI90" s="12"/>
      <c r="CJ90" s="12"/>
      <c r="CK90" s="12"/>
      <c r="CL90" s="12"/>
      <c r="CM90" s="12"/>
      <c r="CN90" s="12"/>
      <c r="CO90" s="12"/>
      <c r="CP90" s="12"/>
      <c r="CQ90" s="12"/>
      <c r="CR90" s="12"/>
      <c r="CS90" s="12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</row>
    <row r="91" spans="5:202" ht="11.1" customHeight="1" x14ac:dyDescent="0.25">
      <c r="G91" s="218"/>
      <c r="H91" s="219"/>
      <c r="I91" s="219"/>
      <c r="J91" s="219"/>
      <c r="K91" s="219"/>
      <c r="L91" s="219"/>
      <c r="M91" s="219"/>
      <c r="N91" s="234"/>
      <c r="O91" s="218"/>
      <c r="P91" s="219"/>
      <c r="Q91" s="219"/>
      <c r="R91" s="219"/>
      <c r="S91" s="219"/>
      <c r="T91" s="219"/>
      <c r="U91" s="220"/>
      <c r="V91" s="218"/>
      <c r="W91" s="219"/>
      <c r="X91" s="219"/>
      <c r="Y91" s="219"/>
      <c r="Z91" s="219"/>
      <c r="AA91" s="219"/>
      <c r="AB91" s="220"/>
      <c r="AC91" s="231"/>
      <c r="AD91" s="231"/>
      <c r="AE91" s="231"/>
      <c r="AF91" s="231"/>
      <c r="AG91" s="231"/>
      <c r="AH91" s="231"/>
      <c r="AI91" s="231"/>
      <c r="AJ91" s="231"/>
      <c r="AK91" s="231"/>
      <c r="AL91" s="231"/>
      <c r="AM91" s="231"/>
      <c r="AN91" s="231"/>
      <c r="AO91" s="231"/>
      <c r="AP91" s="231"/>
      <c r="AQ91" s="231"/>
      <c r="AR91" s="231"/>
      <c r="AS91" s="231"/>
      <c r="AT91" s="231"/>
      <c r="AU91" s="231"/>
      <c r="AV91" s="231"/>
      <c r="AW91" s="232"/>
      <c r="AY91" s="5"/>
      <c r="AZ91" s="5"/>
      <c r="BA91" s="5"/>
      <c r="BB91" s="5"/>
      <c r="BD91" s="5"/>
      <c r="BE91" s="5"/>
      <c r="BF91" s="5"/>
      <c r="BG91" s="5"/>
      <c r="BH91" s="12"/>
      <c r="BI91" s="12"/>
      <c r="BJ91" s="12"/>
      <c r="BK91" s="12"/>
      <c r="BL91" s="12"/>
      <c r="BM91" s="12"/>
      <c r="BN91" s="12"/>
      <c r="BO91" s="5"/>
      <c r="BP91" s="5"/>
      <c r="BQ91" s="5"/>
      <c r="BR91" s="5"/>
      <c r="BS91" s="109"/>
      <c r="BT91" s="106"/>
      <c r="BU91" s="106"/>
      <c r="BV91" s="5"/>
      <c r="BW91" s="12"/>
      <c r="BX91" s="12"/>
      <c r="BY91" s="12"/>
      <c r="BZ91" s="12"/>
      <c r="CA91" s="12"/>
      <c r="CB91" s="12"/>
      <c r="CC91" s="12"/>
      <c r="CD91" s="12"/>
      <c r="CE91" s="12"/>
      <c r="CF91" s="12"/>
      <c r="CG91" s="12"/>
      <c r="CH91" s="12"/>
      <c r="CI91" s="12"/>
      <c r="CJ91" s="12"/>
      <c r="CK91" s="12"/>
      <c r="CL91" s="12"/>
      <c r="CM91" s="12"/>
      <c r="CN91" s="12"/>
      <c r="CO91" s="12"/>
      <c r="CP91" s="12"/>
      <c r="CQ91" s="12"/>
      <c r="CR91" s="12"/>
      <c r="CS91" s="12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</row>
    <row r="92" spans="5:202" ht="3.9" customHeight="1" x14ac:dyDescent="0.3">
      <c r="E92" s="9" t="s">
        <v>9</v>
      </c>
      <c r="F92" s="54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110"/>
      <c r="BT92" s="106"/>
      <c r="BU92" s="106"/>
      <c r="BV92" s="5"/>
      <c r="BW92" s="12"/>
      <c r="BX92" s="12"/>
      <c r="BY92" s="12"/>
      <c r="BZ92" s="12"/>
      <c r="CA92" s="12"/>
      <c r="CB92" s="12"/>
      <c r="CC92" s="12"/>
      <c r="CD92" s="12"/>
      <c r="CE92" s="12"/>
      <c r="CF92" s="12"/>
      <c r="CG92" s="12"/>
      <c r="CH92" s="12"/>
      <c r="CI92" s="12"/>
      <c r="CJ92" s="12"/>
      <c r="CK92" s="12"/>
      <c r="CL92" s="12"/>
      <c r="CM92" s="12"/>
      <c r="CN92" s="12"/>
      <c r="CO92" s="12"/>
      <c r="CP92" s="12"/>
      <c r="CQ92" s="12"/>
      <c r="CR92" s="12"/>
      <c r="CS92" s="12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</row>
    <row r="93" spans="5:202" ht="11.1" customHeight="1" x14ac:dyDescent="0.25">
      <c r="G93" s="226" t="s">
        <v>275</v>
      </c>
      <c r="H93" s="227"/>
      <c r="I93" s="227"/>
      <c r="J93" s="227"/>
      <c r="K93" s="227"/>
      <c r="L93" s="227"/>
      <c r="M93" s="227"/>
      <c r="N93" s="227"/>
      <c r="O93" s="227"/>
      <c r="P93" s="227"/>
      <c r="Q93" s="227"/>
      <c r="R93" s="227"/>
      <c r="S93" s="227"/>
      <c r="T93" s="227"/>
      <c r="U93" s="227"/>
      <c r="V93" s="227"/>
      <c r="W93" s="227"/>
      <c r="X93" s="227"/>
      <c r="Y93" s="227"/>
      <c r="Z93" s="227"/>
      <c r="AA93" s="227"/>
      <c r="AB93" s="227"/>
      <c r="AC93" s="227"/>
      <c r="AD93" s="227"/>
      <c r="AE93" s="227"/>
      <c r="AF93" s="227"/>
      <c r="AG93" s="227"/>
      <c r="AH93" s="227"/>
      <c r="AI93" s="227"/>
      <c r="AJ93" s="227"/>
      <c r="AK93" s="227"/>
      <c r="AL93" s="227"/>
      <c r="AM93" s="227"/>
      <c r="AN93" s="227"/>
      <c r="AO93" s="227"/>
      <c r="AP93" s="227"/>
      <c r="AQ93" s="227"/>
      <c r="AR93" s="227"/>
      <c r="AS93" s="227"/>
      <c r="AT93" s="227"/>
      <c r="AU93" s="227"/>
      <c r="AV93" s="227"/>
      <c r="AW93" s="228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104"/>
      <c r="BT93" s="106"/>
      <c r="BU93" s="106"/>
      <c r="BV93" s="5"/>
      <c r="BW93" s="12"/>
      <c r="BX93" s="12"/>
      <c r="BY93" s="12"/>
      <c r="BZ93" s="12"/>
      <c r="CA93" s="12"/>
      <c r="CB93" s="12"/>
      <c r="CC93" s="12"/>
      <c r="CD93" s="12"/>
      <c r="CE93" s="12"/>
      <c r="CF93" s="12"/>
      <c r="CG93" s="12"/>
      <c r="CH93" s="12"/>
      <c r="CI93" s="12"/>
      <c r="CJ93" s="12"/>
      <c r="CK93" s="12"/>
      <c r="CL93" s="12"/>
      <c r="CM93" s="12"/>
      <c r="CN93" s="12"/>
      <c r="CO93" s="12"/>
      <c r="CP93" s="12"/>
      <c r="CQ93" s="12"/>
      <c r="CR93" s="12"/>
      <c r="CS93" s="12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</row>
    <row r="94" spans="5:202" ht="11.1" customHeight="1" x14ac:dyDescent="0.25">
      <c r="G94" s="334" t="s">
        <v>296</v>
      </c>
      <c r="H94" s="237"/>
      <c r="I94" s="237"/>
      <c r="J94" s="237"/>
      <c r="K94" s="237"/>
      <c r="L94" s="237"/>
      <c r="M94" s="237"/>
      <c r="N94" s="237"/>
      <c r="O94" s="237"/>
      <c r="P94" s="237"/>
      <c r="Q94" s="237"/>
      <c r="R94" s="237"/>
      <c r="S94" s="237"/>
      <c r="T94" s="237"/>
      <c r="U94" s="237"/>
      <c r="V94" s="237"/>
      <c r="W94" s="237"/>
      <c r="X94" s="237"/>
      <c r="Y94" s="237"/>
      <c r="Z94" s="237"/>
      <c r="AA94" s="237"/>
      <c r="AB94" s="237"/>
      <c r="AC94" s="237"/>
      <c r="AD94" s="237"/>
      <c r="AE94" s="237"/>
      <c r="AF94" s="237"/>
      <c r="AG94" s="237"/>
      <c r="AH94" s="237"/>
      <c r="AI94" s="237"/>
      <c r="AJ94" s="237"/>
      <c r="AK94" s="237"/>
      <c r="AL94" s="237"/>
      <c r="AM94" s="237"/>
      <c r="AN94" s="237"/>
      <c r="AO94" s="237"/>
      <c r="AP94" s="237"/>
      <c r="AQ94" s="237"/>
      <c r="AR94" s="237"/>
      <c r="AS94" s="237"/>
      <c r="AT94" s="237"/>
      <c r="AU94" s="237"/>
      <c r="AV94" s="237"/>
      <c r="AW94" s="238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103"/>
      <c r="BT94" s="5"/>
      <c r="BU94" s="5"/>
      <c r="BV94" s="5"/>
      <c r="BW94" s="12"/>
      <c r="BX94" s="12"/>
      <c r="BY94" s="12"/>
      <c r="BZ94" s="12"/>
      <c r="CA94" s="12"/>
      <c r="CB94" s="12"/>
      <c r="CC94" s="12"/>
      <c r="CD94" s="12"/>
      <c r="CE94" s="12"/>
      <c r="CF94" s="12"/>
      <c r="CG94" s="12"/>
      <c r="CH94" s="12"/>
      <c r="CI94" s="12"/>
      <c r="CJ94" s="12"/>
      <c r="CK94" s="12"/>
      <c r="CL94" s="12"/>
      <c r="CM94" s="12"/>
      <c r="CN94" s="12"/>
      <c r="CO94" s="12"/>
      <c r="CP94" s="12"/>
      <c r="CQ94" s="12"/>
      <c r="CR94" s="12"/>
      <c r="CS94" s="12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</row>
    <row r="95" spans="5:202" ht="3.9" customHeight="1" x14ac:dyDescent="0.25">
      <c r="E95" s="9" t="s">
        <v>9</v>
      </c>
      <c r="F95" s="54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103"/>
      <c r="BT95" s="5"/>
      <c r="BU95" s="5"/>
      <c r="BV95" s="5"/>
      <c r="BW95" s="12"/>
      <c r="BX95" s="12"/>
      <c r="BY95" s="12"/>
      <c r="BZ95" s="12"/>
      <c r="CA95" s="12"/>
      <c r="CB95" s="12"/>
      <c r="CC95" s="12"/>
      <c r="CD95" s="12"/>
      <c r="CE95" s="12"/>
      <c r="CF95" s="12"/>
      <c r="CG95" s="12"/>
      <c r="CH95" s="12"/>
      <c r="CI95" s="12"/>
      <c r="CJ95" s="12"/>
      <c r="CK95" s="12"/>
      <c r="CL95" s="12"/>
      <c r="CM95" s="12"/>
      <c r="CN95" s="12"/>
      <c r="CO95" s="12"/>
      <c r="CP95" s="12"/>
      <c r="CQ95" s="12"/>
      <c r="CR95" s="12"/>
      <c r="CS95" s="12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</row>
    <row r="96" spans="5:202" ht="11.1" customHeight="1" x14ac:dyDescent="0.25">
      <c r="G96" s="395" t="s">
        <v>201</v>
      </c>
      <c r="H96" s="396"/>
      <c r="I96" s="396"/>
      <c r="J96" s="396"/>
      <c r="K96" s="396"/>
      <c r="L96" s="396"/>
      <c r="M96" s="396"/>
      <c r="N96" s="396"/>
      <c r="O96" s="396"/>
      <c r="P96" s="396"/>
      <c r="Q96" s="396"/>
      <c r="R96" s="396"/>
      <c r="S96" s="396"/>
      <c r="T96" s="396"/>
      <c r="U96" s="396"/>
      <c r="V96" s="396"/>
      <c r="W96" s="396"/>
      <c r="X96" s="396"/>
      <c r="Y96" s="396"/>
      <c r="Z96" s="396"/>
      <c r="AA96" s="396"/>
      <c r="AB96" s="396"/>
      <c r="AC96" s="396"/>
      <c r="AD96" s="396"/>
      <c r="AE96" s="396"/>
      <c r="AF96" s="396"/>
      <c r="AG96" s="396"/>
      <c r="AH96" s="396"/>
      <c r="AI96" s="396"/>
      <c r="AJ96" s="396"/>
      <c r="AK96" s="396"/>
      <c r="AL96" s="396"/>
      <c r="AM96" s="396"/>
      <c r="AN96" s="396"/>
      <c r="AO96" s="396"/>
      <c r="AP96" s="396"/>
      <c r="AQ96" s="396"/>
      <c r="AR96" s="396"/>
      <c r="AS96" s="396"/>
      <c r="AT96" s="396"/>
      <c r="AU96" s="396"/>
      <c r="AV96" s="396"/>
      <c r="AW96" s="397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</row>
    <row r="97" spans="7:208" ht="11.1" customHeight="1" x14ac:dyDescent="0.25">
      <c r="G97" s="224" t="s">
        <v>28</v>
      </c>
      <c r="H97" s="225"/>
      <c r="I97" s="224" t="s">
        <v>29</v>
      </c>
      <c r="J97" s="224"/>
      <c r="K97" s="224"/>
      <c r="L97" s="224"/>
      <c r="M97" s="224"/>
      <c r="N97" s="224"/>
      <c r="O97" s="224"/>
      <c r="P97" s="224"/>
      <c r="Q97" s="224"/>
      <c r="R97" s="224"/>
      <c r="S97" s="224"/>
      <c r="T97" s="224"/>
      <c r="U97" s="224"/>
      <c r="V97" s="224"/>
      <c r="W97" s="224"/>
      <c r="X97" s="434" t="s">
        <v>336</v>
      </c>
      <c r="Y97" s="434"/>
      <c r="Z97" s="434"/>
      <c r="AA97" s="434"/>
      <c r="AB97" s="434"/>
      <c r="AC97" s="434"/>
      <c r="AD97" s="434"/>
      <c r="AE97" s="434"/>
      <c r="AF97" s="434"/>
      <c r="AG97" s="434"/>
      <c r="AH97" s="434"/>
      <c r="AI97" s="434"/>
      <c r="AJ97" s="434"/>
      <c r="AK97" s="434"/>
      <c r="AL97" s="434"/>
      <c r="AM97" s="101"/>
      <c r="AN97" s="429" t="s">
        <v>193</v>
      </c>
      <c r="AO97" s="430"/>
      <c r="AP97" s="430"/>
      <c r="AQ97" s="430"/>
      <c r="AR97" s="430"/>
      <c r="AS97" s="430"/>
      <c r="AT97" s="430"/>
      <c r="AU97" s="430"/>
      <c r="AV97" s="430"/>
      <c r="AW97" s="431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</row>
    <row r="98" spans="7:208" ht="11.1" customHeight="1" x14ac:dyDescent="0.25">
      <c r="G98" s="224"/>
      <c r="H98" s="225"/>
      <c r="I98" s="224"/>
      <c r="J98" s="224"/>
      <c r="K98" s="224"/>
      <c r="L98" s="224"/>
      <c r="M98" s="224"/>
      <c r="N98" s="224"/>
      <c r="O98" s="224"/>
      <c r="P98" s="224"/>
      <c r="Q98" s="224"/>
      <c r="R98" s="224"/>
      <c r="S98" s="224"/>
      <c r="T98" s="224"/>
      <c r="U98" s="224"/>
      <c r="V98" s="224"/>
      <c r="W98" s="224"/>
      <c r="X98" s="413" t="s">
        <v>194</v>
      </c>
      <c r="Y98" s="413"/>
      <c r="Z98" s="413"/>
      <c r="AA98" s="413"/>
      <c r="AB98" s="224" t="s">
        <v>203</v>
      </c>
      <c r="AC98" s="224"/>
      <c r="AD98" s="224"/>
      <c r="AE98" s="233"/>
      <c r="AF98" s="233"/>
      <c r="AG98" s="233"/>
      <c r="AH98" s="233"/>
      <c r="AI98" s="224" t="s">
        <v>195</v>
      </c>
      <c r="AJ98" s="224"/>
      <c r="AK98" s="224"/>
      <c r="AL98" s="224"/>
      <c r="AM98" s="100"/>
      <c r="AN98" s="418" t="s">
        <v>204</v>
      </c>
      <c r="AO98" s="419"/>
      <c r="AP98" s="419"/>
      <c r="AQ98" s="419"/>
      <c r="AR98" s="420"/>
      <c r="AS98" s="418" t="s">
        <v>205</v>
      </c>
      <c r="AT98" s="419"/>
      <c r="AU98" s="419"/>
      <c r="AV98" s="419"/>
      <c r="AW98" s="420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</row>
    <row r="99" spans="7:208" ht="11.1" customHeight="1" x14ac:dyDescent="0.25">
      <c r="G99" s="571">
        <v>1</v>
      </c>
      <c r="H99" s="571"/>
      <c r="I99" s="414" t="s">
        <v>259</v>
      </c>
      <c r="J99" s="414"/>
      <c r="K99" s="414"/>
      <c r="L99" s="414"/>
      <c r="M99" s="414"/>
      <c r="N99" s="414"/>
      <c r="O99" s="414"/>
      <c r="P99" s="414"/>
      <c r="Q99" s="414"/>
      <c r="R99" s="414"/>
      <c r="S99" s="414"/>
      <c r="T99" s="414"/>
      <c r="U99" s="414"/>
      <c r="V99" s="414"/>
      <c r="W99" s="415"/>
      <c r="X99" s="432">
        <f t="shared" ref="X99:X118" si="0">IFERROR(100*AB99/$AB$119,0)</f>
        <v>0</v>
      </c>
      <c r="Y99" s="432"/>
      <c r="Z99" s="433"/>
      <c r="AA99" s="433"/>
      <c r="AB99" s="572"/>
      <c r="AC99" s="572"/>
      <c r="AD99" s="572"/>
      <c r="AE99" s="572"/>
      <c r="AF99" s="572"/>
      <c r="AG99" s="572"/>
      <c r="AH99" s="573"/>
      <c r="AI99" s="432">
        <f>X99</f>
        <v>0</v>
      </c>
      <c r="AJ99" s="432"/>
      <c r="AK99" s="433"/>
      <c r="AL99" s="433"/>
      <c r="AM99" s="100"/>
      <c r="AN99" s="426">
        <v>1.1299999999999999</v>
      </c>
      <c r="AO99" s="427"/>
      <c r="AP99" s="427"/>
      <c r="AQ99" s="427"/>
      <c r="AR99" s="428"/>
      <c r="AS99" s="595">
        <v>3.97</v>
      </c>
      <c r="AT99" s="596"/>
      <c r="AU99" s="596"/>
      <c r="AV99" s="596"/>
      <c r="AW99" s="597"/>
      <c r="AX99" s="92" t="str">
        <f>IF(X99=0,"",IF(X99&gt;AS99,"Excede máximo - justifique",IF(X99&lt;AN99,"Abaixo do mínimo","OK")))</f>
        <v/>
      </c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</row>
    <row r="100" spans="7:208" ht="11.1" customHeight="1" x14ac:dyDescent="0.25">
      <c r="G100" s="398">
        <f>G99+1</f>
        <v>2</v>
      </c>
      <c r="H100" s="398"/>
      <c r="I100" s="414" t="s">
        <v>255</v>
      </c>
      <c r="J100" s="414"/>
      <c r="K100" s="414"/>
      <c r="L100" s="414"/>
      <c r="M100" s="414"/>
      <c r="N100" s="414"/>
      <c r="O100" s="414"/>
      <c r="P100" s="414"/>
      <c r="Q100" s="414"/>
      <c r="R100" s="414"/>
      <c r="S100" s="414"/>
      <c r="T100" s="414"/>
      <c r="U100" s="414"/>
      <c r="V100" s="414"/>
      <c r="W100" s="415"/>
      <c r="X100" s="416">
        <f t="shared" si="0"/>
        <v>0</v>
      </c>
      <c r="Y100" s="416"/>
      <c r="Z100" s="417"/>
      <c r="AA100" s="417"/>
      <c r="AB100" s="421"/>
      <c r="AC100" s="421"/>
      <c r="AD100" s="421"/>
      <c r="AE100" s="422"/>
      <c r="AF100" s="422"/>
      <c r="AG100" s="422"/>
      <c r="AH100" s="422"/>
      <c r="AI100" s="416">
        <f>X100+AI99</f>
        <v>0</v>
      </c>
      <c r="AJ100" s="416"/>
      <c r="AK100" s="417"/>
      <c r="AL100" s="417"/>
      <c r="AM100" s="100"/>
      <c r="AN100" s="242">
        <v>3.07</v>
      </c>
      <c r="AO100" s="243"/>
      <c r="AP100" s="243"/>
      <c r="AQ100" s="243"/>
      <c r="AR100" s="244"/>
      <c r="AS100" s="239">
        <v>7.43</v>
      </c>
      <c r="AT100" s="240"/>
      <c r="AU100" s="240"/>
      <c r="AV100" s="240"/>
      <c r="AW100" s="241"/>
      <c r="AX100" s="92" t="str">
        <f t="shared" ref="AX100:AX118" si="1">IF(X100=0,"",IF(X100&gt;AS100,"Excede máximo - justifique",IF(X100&lt;AN100,"Abaixo do mínimo","OK")))</f>
        <v/>
      </c>
      <c r="AY100" s="5"/>
      <c r="AZ100" s="5"/>
      <c r="BV100" s="5"/>
      <c r="BW100" s="5"/>
      <c r="BX100" s="5"/>
      <c r="BY100" s="116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P100" s="5"/>
      <c r="DQ100" s="5"/>
      <c r="DR100" s="5"/>
      <c r="DS100" s="5"/>
      <c r="DT100" s="5"/>
      <c r="DU100" s="5"/>
      <c r="DV100" s="5"/>
      <c r="DW100" s="5"/>
      <c r="DX100" s="5"/>
      <c r="DY100" s="5"/>
      <c r="DZ100" s="5"/>
      <c r="EA100" s="5"/>
      <c r="EB100" s="5"/>
      <c r="EC100" s="5"/>
      <c r="ED100" s="5"/>
      <c r="EE100" s="5"/>
      <c r="EF100" s="5"/>
      <c r="EG100" s="5"/>
      <c r="EH100" s="5"/>
      <c r="EI100" s="5"/>
      <c r="EJ100" s="5"/>
      <c r="EK100" s="5"/>
      <c r="EL100" s="5"/>
      <c r="EM100" s="5"/>
      <c r="EN100" s="5"/>
      <c r="EO100" s="5"/>
      <c r="EP100" s="5"/>
      <c r="EQ100" s="5"/>
      <c r="ER100" s="5"/>
      <c r="ES100" s="5"/>
      <c r="ET100" s="5"/>
      <c r="EU100" s="5"/>
      <c r="EV100" s="5"/>
      <c r="EW100" s="5"/>
      <c r="EX100" s="5"/>
      <c r="EY100" s="5"/>
      <c r="EZ100" s="5"/>
      <c r="FA100" s="5"/>
      <c r="FB100" s="5"/>
      <c r="FC100" s="5"/>
      <c r="FD100" s="5"/>
      <c r="FE100" s="5"/>
      <c r="FF100" s="5"/>
      <c r="FG100" s="5"/>
      <c r="FH100" s="5"/>
      <c r="FI100" s="5"/>
      <c r="FJ100" s="5"/>
      <c r="FK100" s="5"/>
      <c r="FL100" s="5"/>
      <c r="FM100" s="5"/>
      <c r="FN100" s="5"/>
      <c r="FO100" s="5"/>
      <c r="FP100" s="5"/>
      <c r="FQ100" s="5"/>
      <c r="FR100" s="5"/>
      <c r="FS100" s="5"/>
      <c r="FT100" s="5"/>
      <c r="FU100" s="5"/>
      <c r="FV100" s="5"/>
      <c r="FW100" s="5"/>
      <c r="FX100" s="5"/>
      <c r="FY100" s="5"/>
      <c r="FZ100" s="5"/>
      <c r="GA100" s="5"/>
      <c r="GB100" s="5"/>
      <c r="GC100" s="5"/>
      <c r="GD100" s="5"/>
      <c r="GE100" s="5"/>
      <c r="GF100" s="5"/>
      <c r="GG100" s="5"/>
      <c r="GH100" s="5"/>
      <c r="GI100" s="5"/>
      <c r="GJ100" s="5"/>
      <c r="GK100" s="5"/>
      <c r="GL100" s="5"/>
      <c r="GM100" s="5"/>
      <c r="GN100" s="5"/>
      <c r="GO100" s="5"/>
      <c r="GP100" s="5"/>
      <c r="GQ100" s="5"/>
      <c r="GR100" s="5"/>
      <c r="GS100" s="5"/>
      <c r="GT100" s="5"/>
      <c r="GU100" s="5"/>
      <c r="GV100" s="5"/>
      <c r="GW100" s="5"/>
      <c r="GX100" s="5"/>
      <c r="GY100" s="5"/>
      <c r="GZ100" s="5"/>
    </row>
    <row r="101" spans="7:208" ht="11.1" customHeight="1" x14ac:dyDescent="0.25">
      <c r="G101" s="398">
        <f>G100+1</f>
        <v>3</v>
      </c>
      <c r="H101" s="398"/>
      <c r="I101" s="414" t="s">
        <v>256</v>
      </c>
      <c r="J101" s="414"/>
      <c r="K101" s="414"/>
      <c r="L101" s="414"/>
      <c r="M101" s="414"/>
      <c r="N101" s="414"/>
      <c r="O101" s="414"/>
      <c r="P101" s="414"/>
      <c r="Q101" s="414"/>
      <c r="R101" s="414"/>
      <c r="S101" s="414"/>
      <c r="T101" s="414"/>
      <c r="U101" s="414"/>
      <c r="V101" s="414"/>
      <c r="W101" s="415"/>
      <c r="X101" s="416">
        <f t="shared" si="0"/>
        <v>0</v>
      </c>
      <c r="Y101" s="416"/>
      <c r="Z101" s="417"/>
      <c r="AA101" s="417"/>
      <c r="AB101" s="381"/>
      <c r="AC101" s="381"/>
      <c r="AD101" s="381"/>
      <c r="AE101" s="382"/>
      <c r="AF101" s="382"/>
      <c r="AG101" s="382"/>
      <c r="AH101" s="382"/>
      <c r="AI101" s="416">
        <f t="shared" ref="AI101:AI117" si="2">X101+AI100</f>
        <v>0</v>
      </c>
      <c r="AJ101" s="416"/>
      <c r="AK101" s="417"/>
      <c r="AL101" s="417"/>
      <c r="AM101" s="100"/>
      <c r="AN101" s="242">
        <v>12.17</v>
      </c>
      <c r="AO101" s="243"/>
      <c r="AP101" s="243"/>
      <c r="AQ101" s="243"/>
      <c r="AR101" s="244"/>
      <c r="AS101" s="239">
        <v>17.670000000000002</v>
      </c>
      <c r="AT101" s="240"/>
      <c r="AU101" s="240"/>
      <c r="AV101" s="240"/>
      <c r="AW101" s="241"/>
      <c r="AX101" s="92" t="str">
        <f t="shared" si="1"/>
        <v/>
      </c>
      <c r="AY101" s="5"/>
      <c r="AZ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5"/>
      <c r="DO101" s="5"/>
      <c r="DP101" s="5"/>
      <c r="DQ101" s="5"/>
      <c r="DR101" s="5"/>
      <c r="DS101" s="5"/>
      <c r="DT101" s="5"/>
      <c r="DU101" s="5"/>
      <c r="DV101" s="5"/>
      <c r="DW101" s="5"/>
      <c r="DX101" s="5"/>
      <c r="DY101" s="5"/>
      <c r="DZ101" s="5"/>
      <c r="EA101" s="5"/>
      <c r="EB101" s="5"/>
      <c r="EC101" s="5"/>
      <c r="ED101" s="5"/>
      <c r="EE101" s="5"/>
      <c r="EF101" s="5"/>
      <c r="EG101" s="5"/>
      <c r="EH101" s="5"/>
      <c r="EI101" s="5"/>
      <c r="EJ101" s="5"/>
      <c r="EK101" s="5"/>
      <c r="EL101" s="5"/>
      <c r="EM101" s="5"/>
      <c r="EN101" s="5"/>
      <c r="EO101" s="5"/>
      <c r="EP101" s="5"/>
      <c r="EQ101" s="5"/>
      <c r="ER101" s="5"/>
      <c r="ES101" s="5"/>
      <c r="ET101" s="5"/>
      <c r="EU101" s="5"/>
      <c r="EV101" s="5"/>
      <c r="EW101" s="5"/>
      <c r="EX101" s="5"/>
      <c r="EY101" s="5"/>
      <c r="EZ101" s="5"/>
      <c r="FA101" s="5"/>
      <c r="FB101" s="5"/>
      <c r="FC101" s="5"/>
      <c r="FD101" s="5"/>
      <c r="FE101" s="5"/>
      <c r="FF101" s="5"/>
      <c r="FG101" s="5"/>
      <c r="FH101" s="5"/>
      <c r="FI101" s="5"/>
      <c r="FJ101" s="5"/>
      <c r="FK101" s="5"/>
      <c r="FL101" s="5"/>
      <c r="FM101" s="5"/>
      <c r="FN101" s="5"/>
      <c r="FO101" s="5"/>
      <c r="FP101" s="5"/>
      <c r="FQ101" s="5"/>
      <c r="FR101" s="5"/>
      <c r="FS101" s="5"/>
      <c r="FT101" s="5"/>
      <c r="FU101" s="5"/>
      <c r="FV101" s="5"/>
      <c r="FW101" s="5"/>
      <c r="FX101" s="5"/>
      <c r="FY101" s="5"/>
      <c r="FZ101" s="5"/>
      <c r="GA101" s="5"/>
      <c r="GB101" s="5"/>
      <c r="GC101" s="5"/>
      <c r="GD101" s="5"/>
      <c r="GE101" s="5"/>
      <c r="GF101" s="5"/>
      <c r="GG101" s="5"/>
      <c r="GH101" s="5"/>
      <c r="GI101" s="5"/>
      <c r="GJ101" s="5"/>
      <c r="GK101" s="5"/>
      <c r="GL101" s="5"/>
      <c r="GM101" s="5"/>
      <c r="GN101" s="5"/>
      <c r="GO101" s="5"/>
      <c r="GP101" s="5"/>
      <c r="GQ101" s="5"/>
      <c r="GR101" s="5"/>
      <c r="GS101" s="5"/>
      <c r="GT101" s="5"/>
      <c r="GU101" s="5"/>
      <c r="GV101" s="5"/>
      <c r="GW101" s="5"/>
      <c r="GX101" s="5"/>
      <c r="GY101" s="5"/>
      <c r="GZ101" s="5"/>
    </row>
    <row r="102" spans="7:208" ht="11.1" customHeight="1" x14ac:dyDescent="0.25">
      <c r="G102" s="398">
        <f>G101+1</f>
        <v>4</v>
      </c>
      <c r="H102" s="398"/>
      <c r="I102" s="414" t="s">
        <v>196</v>
      </c>
      <c r="J102" s="414"/>
      <c r="K102" s="414"/>
      <c r="L102" s="414"/>
      <c r="M102" s="414"/>
      <c r="N102" s="414"/>
      <c r="O102" s="414"/>
      <c r="P102" s="414"/>
      <c r="Q102" s="414"/>
      <c r="R102" s="414"/>
      <c r="S102" s="414"/>
      <c r="T102" s="414"/>
      <c r="U102" s="414"/>
      <c r="V102" s="414"/>
      <c r="W102" s="415"/>
      <c r="X102" s="416">
        <f t="shared" si="0"/>
        <v>0</v>
      </c>
      <c r="Y102" s="416"/>
      <c r="Z102" s="417"/>
      <c r="AA102" s="417"/>
      <c r="AB102" s="381"/>
      <c r="AC102" s="381"/>
      <c r="AD102" s="381"/>
      <c r="AE102" s="382"/>
      <c r="AF102" s="382"/>
      <c r="AG102" s="382"/>
      <c r="AH102" s="382"/>
      <c r="AI102" s="416">
        <f t="shared" si="2"/>
        <v>0</v>
      </c>
      <c r="AJ102" s="416"/>
      <c r="AK102" s="417"/>
      <c r="AL102" s="417"/>
      <c r="AM102" s="100"/>
      <c r="AN102" s="242">
        <v>4.8</v>
      </c>
      <c r="AO102" s="243"/>
      <c r="AP102" s="243"/>
      <c r="AQ102" s="243"/>
      <c r="AR102" s="244"/>
      <c r="AS102" s="239">
        <v>10.67</v>
      </c>
      <c r="AT102" s="240"/>
      <c r="AU102" s="240"/>
      <c r="AV102" s="240"/>
      <c r="AW102" s="241"/>
      <c r="AX102" s="92" t="str">
        <f t="shared" si="1"/>
        <v/>
      </c>
      <c r="AY102" s="5"/>
      <c r="AZ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5"/>
      <c r="DO102" s="5"/>
      <c r="DP102" s="5"/>
      <c r="DQ102" s="5"/>
      <c r="DR102" s="5"/>
      <c r="DS102" s="5"/>
      <c r="DT102" s="5"/>
      <c r="DU102" s="5"/>
      <c r="DV102" s="5"/>
      <c r="DW102" s="5"/>
      <c r="DX102" s="5"/>
      <c r="DY102" s="5"/>
      <c r="DZ102" s="5"/>
      <c r="EA102" s="5"/>
      <c r="EB102" s="5"/>
      <c r="EC102" s="5"/>
      <c r="ED102" s="5"/>
      <c r="EE102" s="5"/>
      <c r="EF102" s="5"/>
      <c r="EG102" s="5"/>
      <c r="EH102" s="5"/>
      <c r="EI102" s="5"/>
      <c r="EJ102" s="5"/>
      <c r="EK102" s="5"/>
      <c r="EL102" s="5"/>
      <c r="EM102" s="5"/>
      <c r="EN102" s="5"/>
      <c r="EO102" s="5"/>
      <c r="EP102" s="5"/>
      <c r="EQ102" s="5"/>
      <c r="ER102" s="5"/>
      <c r="ES102" s="5"/>
      <c r="ET102" s="5"/>
      <c r="EU102" s="5"/>
      <c r="EV102" s="5"/>
      <c r="EW102" s="5"/>
      <c r="EX102" s="5"/>
      <c r="EY102" s="5"/>
      <c r="EZ102" s="5"/>
      <c r="FA102" s="5"/>
      <c r="FB102" s="5"/>
      <c r="FC102" s="5"/>
      <c r="FD102" s="5"/>
      <c r="FE102" s="5"/>
      <c r="FF102" s="5"/>
      <c r="FG102" s="5"/>
      <c r="FH102" s="5"/>
      <c r="FI102" s="5"/>
      <c r="FJ102" s="5"/>
      <c r="FK102" s="5"/>
      <c r="FL102" s="5"/>
      <c r="FM102" s="5"/>
      <c r="FN102" s="5"/>
      <c r="FO102" s="5"/>
      <c r="FP102" s="5"/>
      <c r="FQ102" s="5"/>
      <c r="FR102" s="5"/>
      <c r="FS102" s="5"/>
      <c r="FT102" s="5"/>
      <c r="FU102" s="5"/>
      <c r="FV102" s="5"/>
      <c r="FW102" s="5"/>
      <c r="FX102" s="5"/>
      <c r="FY102" s="5"/>
      <c r="FZ102" s="5"/>
      <c r="GA102" s="5"/>
      <c r="GB102" s="5"/>
      <c r="GC102" s="5"/>
      <c r="GD102" s="5"/>
      <c r="GE102" s="5"/>
      <c r="GF102" s="5"/>
      <c r="GG102" s="5"/>
      <c r="GH102" s="5"/>
      <c r="GI102" s="5"/>
      <c r="GJ102" s="5"/>
      <c r="GK102" s="5"/>
      <c r="GL102" s="5"/>
      <c r="GM102" s="5"/>
      <c r="GN102" s="5"/>
      <c r="GO102" s="5"/>
      <c r="GP102" s="5"/>
      <c r="GQ102" s="5"/>
      <c r="GR102" s="5"/>
      <c r="GS102" s="5"/>
      <c r="GT102" s="5"/>
      <c r="GU102" s="5"/>
      <c r="GV102" s="5"/>
      <c r="GW102" s="5"/>
      <c r="GX102" s="5"/>
      <c r="GY102" s="5"/>
      <c r="GZ102" s="5"/>
    </row>
    <row r="103" spans="7:208" ht="11.1" customHeight="1" x14ac:dyDescent="0.25">
      <c r="G103" s="398">
        <f>G102+1</f>
        <v>5</v>
      </c>
      <c r="H103" s="398"/>
      <c r="I103" s="414" t="s">
        <v>33</v>
      </c>
      <c r="J103" s="414"/>
      <c r="K103" s="414"/>
      <c r="L103" s="414"/>
      <c r="M103" s="414"/>
      <c r="N103" s="414"/>
      <c r="O103" s="414"/>
      <c r="P103" s="414"/>
      <c r="Q103" s="414"/>
      <c r="R103" s="414"/>
      <c r="S103" s="414"/>
      <c r="T103" s="414"/>
      <c r="U103" s="414"/>
      <c r="V103" s="414"/>
      <c r="W103" s="415"/>
      <c r="X103" s="416">
        <f t="shared" si="0"/>
        <v>0</v>
      </c>
      <c r="Y103" s="416"/>
      <c r="Z103" s="417"/>
      <c r="AA103" s="417"/>
      <c r="AB103" s="381"/>
      <c r="AC103" s="381"/>
      <c r="AD103" s="381"/>
      <c r="AE103" s="382"/>
      <c r="AF103" s="382"/>
      <c r="AG103" s="382"/>
      <c r="AH103" s="382"/>
      <c r="AI103" s="416">
        <f t="shared" si="2"/>
        <v>0</v>
      </c>
      <c r="AJ103" s="416"/>
      <c r="AK103" s="417"/>
      <c r="AL103" s="417"/>
      <c r="AM103" s="100"/>
      <c r="AN103" s="242">
        <v>4.16</v>
      </c>
      <c r="AO103" s="243"/>
      <c r="AP103" s="243"/>
      <c r="AQ103" s="243"/>
      <c r="AR103" s="244"/>
      <c r="AS103" s="239">
        <v>13.27</v>
      </c>
      <c r="AT103" s="240"/>
      <c r="AU103" s="240"/>
      <c r="AV103" s="240"/>
      <c r="AW103" s="241"/>
      <c r="AX103" s="92" t="str">
        <f t="shared" si="1"/>
        <v/>
      </c>
      <c r="AY103" s="5"/>
      <c r="AZ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5"/>
      <c r="DO103" s="5"/>
      <c r="DP103" s="5"/>
      <c r="DQ103" s="5"/>
      <c r="DR103" s="5"/>
      <c r="DS103" s="5"/>
      <c r="DT103" s="5"/>
      <c r="DU103" s="5"/>
      <c r="DV103" s="5"/>
      <c r="DW103" s="5"/>
      <c r="DX103" s="5"/>
      <c r="DY103" s="5"/>
      <c r="DZ103" s="5"/>
      <c r="EA103" s="5"/>
      <c r="EB103" s="5"/>
      <c r="EC103" s="5"/>
      <c r="ED103" s="5"/>
      <c r="EE103" s="5"/>
      <c r="EF103" s="5"/>
      <c r="EG103" s="5"/>
      <c r="EH103" s="5"/>
      <c r="EI103" s="5"/>
      <c r="EJ103" s="5"/>
      <c r="EK103" s="5"/>
      <c r="EL103" s="5"/>
      <c r="EM103" s="5"/>
      <c r="EN103" s="5"/>
      <c r="EO103" s="5"/>
      <c r="EP103" s="5"/>
      <c r="EQ103" s="5"/>
      <c r="ER103" s="5"/>
      <c r="ES103" s="5"/>
      <c r="ET103" s="5"/>
      <c r="EU103" s="5"/>
      <c r="EV103" s="5"/>
      <c r="EW103" s="5"/>
      <c r="EX103" s="5"/>
      <c r="EY103" s="5"/>
      <c r="EZ103" s="5"/>
      <c r="FA103" s="5"/>
      <c r="FB103" s="5"/>
      <c r="FC103" s="5"/>
      <c r="FD103" s="5"/>
      <c r="FE103" s="5"/>
      <c r="FF103" s="5"/>
      <c r="FG103" s="5"/>
      <c r="FH103" s="5"/>
      <c r="FI103" s="5"/>
      <c r="FJ103" s="5"/>
      <c r="FK103" s="5"/>
      <c r="FL103" s="5"/>
      <c r="FM103" s="5"/>
      <c r="FN103" s="5"/>
      <c r="FO103" s="5"/>
      <c r="FP103" s="5"/>
      <c r="FQ103" s="5"/>
      <c r="FR103" s="5"/>
      <c r="FS103" s="5"/>
      <c r="FT103" s="5"/>
      <c r="FU103" s="5"/>
      <c r="FV103" s="5"/>
      <c r="FW103" s="5"/>
      <c r="FX103" s="5"/>
      <c r="FY103" s="5"/>
      <c r="FZ103" s="5"/>
      <c r="GA103" s="5"/>
      <c r="GB103" s="5"/>
      <c r="GC103" s="5"/>
      <c r="GD103" s="5"/>
      <c r="GE103" s="5"/>
      <c r="GF103" s="5"/>
      <c r="GG103" s="5"/>
      <c r="GH103" s="5"/>
      <c r="GI103" s="5"/>
      <c r="GJ103" s="5"/>
      <c r="GK103" s="5"/>
      <c r="GL103" s="5"/>
      <c r="GM103" s="5"/>
      <c r="GN103" s="5"/>
      <c r="GO103" s="5"/>
      <c r="GP103" s="5"/>
      <c r="GQ103" s="5"/>
      <c r="GR103" s="5"/>
      <c r="GS103" s="5"/>
      <c r="GT103" s="5"/>
      <c r="GU103" s="5"/>
      <c r="GV103" s="5"/>
      <c r="GW103" s="5"/>
      <c r="GX103" s="5"/>
      <c r="GY103" s="5"/>
      <c r="GZ103" s="5"/>
    </row>
    <row r="104" spans="7:208" ht="11.1" customHeight="1" x14ac:dyDescent="0.25">
      <c r="G104" s="398">
        <f>G103+1</f>
        <v>6</v>
      </c>
      <c r="H104" s="398"/>
      <c r="I104" s="414" t="s">
        <v>394</v>
      </c>
      <c r="J104" s="414"/>
      <c r="K104" s="414"/>
      <c r="L104" s="414"/>
      <c r="M104" s="414"/>
      <c r="N104" s="414"/>
      <c r="O104" s="414"/>
      <c r="P104" s="414"/>
      <c r="Q104" s="414"/>
      <c r="R104" s="414"/>
      <c r="S104" s="414"/>
      <c r="T104" s="414"/>
      <c r="U104" s="414"/>
      <c r="V104" s="414"/>
      <c r="W104" s="415"/>
      <c r="X104" s="416">
        <f t="shared" si="0"/>
        <v>0</v>
      </c>
      <c r="Y104" s="416"/>
      <c r="Z104" s="417"/>
      <c r="AA104" s="417"/>
      <c r="AB104" s="381"/>
      <c r="AC104" s="381"/>
      <c r="AD104" s="381"/>
      <c r="AE104" s="382"/>
      <c r="AF104" s="382"/>
      <c r="AG104" s="382"/>
      <c r="AH104" s="382"/>
      <c r="AI104" s="416">
        <f t="shared" si="2"/>
        <v>0</v>
      </c>
      <c r="AJ104" s="416"/>
      <c r="AK104" s="417"/>
      <c r="AL104" s="417"/>
      <c r="AM104" s="100"/>
      <c r="AN104" s="257">
        <v>0</v>
      </c>
      <c r="AO104" s="258"/>
      <c r="AP104" s="258"/>
      <c r="AQ104" s="258"/>
      <c r="AR104" s="259"/>
      <c r="AS104" s="239">
        <v>2.4500000000000002</v>
      </c>
      <c r="AT104" s="240"/>
      <c r="AU104" s="240"/>
      <c r="AV104" s="240"/>
      <c r="AW104" s="241"/>
      <c r="AX104" s="92" t="str">
        <f t="shared" si="1"/>
        <v/>
      </c>
      <c r="AY104" s="5"/>
      <c r="AZ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5"/>
      <c r="DO104" s="5"/>
      <c r="DP104" s="5"/>
      <c r="DQ104" s="5"/>
      <c r="DR104" s="5"/>
      <c r="DS104" s="5"/>
      <c r="DT104" s="5"/>
      <c r="DU104" s="5"/>
      <c r="DV104" s="5"/>
      <c r="DW104" s="5"/>
      <c r="DX104" s="5"/>
      <c r="DY104" s="5"/>
      <c r="DZ104" s="5"/>
      <c r="EA104" s="5"/>
      <c r="EB104" s="5"/>
      <c r="EC104" s="5"/>
      <c r="ED104" s="5"/>
      <c r="EE104" s="5"/>
      <c r="EF104" s="5"/>
      <c r="EG104" s="5"/>
      <c r="EH104" s="5"/>
      <c r="EI104" s="5"/>
      <c r="EJ104" s="5"/>
      <c r="EK104" s="5"/>
      <c r="EL104" s="5"/>
      <c r="EM104" s="5"/>
      <c r="EN104" s="5"/>
      <c r="EO104" s="5"/>
      <c r="EP104" s="5"/>
      <c r="EQ104" s="5"/>
      <c r="ER104" s="5"/>
      <c r="ES104" s="5"/>
      <c r="ET104" s="5"/>
      <c r="EU104" s="5"/>
      <c r="EV104" s="5"/>
      <c r="EW104" s="5"/>
      <c r="EX104" s="5"/>
      <c r="EY104" s="5"/>
      <c r="EZ104" s="5"/>
      <c r="FA104" s="5"/>
      <c r="FB104" s="5"/>
      <c r="FC104" s="5"/>
      <c r="FD104" s="5"/>
      <c r="FE104" s="5"/>
      <c r="FF104" s="5"/>
      <c r="FG104" s="5"/>
      <c r="FH104" s="5"/>
      <c r="FI104" s="5"/>
      <c r="FJ104" s="5"/>
      <c r="FK104" s="5"/>
      <c r="FL104" s="5"/>
      <c r="FM104" s="5"/>
      <c r="FN104" s="5"/>
      <c r="FO104" s="5"/>
      <c r="FP104" s="5"/>
      <c r="FQ104" s="5"/>
      <c r="FR104" s="5"/>
      <c r="FS104" s="5"/>
      <c r="FT104" s="5"/>
      <c r="FU104" s="5"/>
      <c r="FV104" s="5"/>
      <c r="FW104" s="5"/>
      <c r="FX104" s="5"/>
      <c r="FY104" s="5"/>
      <c r="FZ104" s="5"/>
      <c r="GA104" s="5"/>
      <c r="GB104" s="5"/>
      <c r="GC104" s="5"/>
      <c r="GD104" s="5"/>
      <c r="GE104" s="5"/>
      <c r="GF104" s="5"/>
      <c r="GG104" s="5"/>
      <c r="GH104" s="5"/>
      <c r="GI104" s="5"/>
      <c r="GJ104" s="5"/>
      <c r="GK104" s="5"/>
      <c r="GL104" s="5"/>
      <c r="GM104" s="5"/>
      <c r="GN104" s="5"/>
      <c r="GO104" s="5"/>
      <c r="GP104" s="5"/>
      <c r="GQ104" s="5"/>
      <c r="GR104" s="5"/>
      <c r="GS104" s="5"/>
      <c r="GT104" s="5"/>
      <c r="GU104" s="5"/>
      <c r="GV104" s="5"/>
      <c r="GW104" s="5"/>
      <c r="GX104" s="5"/>
      <c r="GY104" s="5"/>
      <c r="GZ104" s="5"/>
    </row>
    <row r="105" spans="7:208" ht="11.1" customHeight="1" x14ac:dyDescent="0.25">
      <c r="G105" s="398">
        <f t="shared" ref="G105:G118" si="3">G104+1</f>
        <v>7</v>
      </c>
      <c r="H105" s="398"/>
      <c r="I105" s="414" t="s">
        <v>257</v>
      </c>
      <c r="J105" s="414"/>
      <c r="K105" s="414"/>
      <c r="L105" s="414"/>
      <c r="M105" s="414"/>
      <c r="N105" s="414"/>
      <c r="O105" s="414"/>
      <c r="P105" s="414"/>
      <c r="Q105" s="414"/>
      <c r="R105" s="414"/>
      <c r="S105" s="414"/>
      <c r="T105" s="414"/>
      <c r="U105" s="414"/>
      <c r="V105" s="414"/>
      <c r="W105" s="415"/>
      <c r="X105" s="416">
        <f t="shared" si="0"/>
        <v>0</v>
      </c>
      <c r="Y105" s="416"/>
      <c r="Z105" s="417"/>
      <c r="AA105" s="417"/>
      <c r="AB105" s="381"/>
      <c r="AC105" s="381"/>
      <c r="AD105" s="381"/>
      <c r="AE105" s="382"/>
      <c r="AF105" s="382"/>
      <c r="AG105" s="382"/>
      <c r="AH105" s="382"/>
      <c r="AI105" s="416">
        <f t="shared" si="2"/>
        <v>0</v>
      </c>
      <c r="AJ105" s="416"/>
      <c r="AK105" s="417"/>
      <c r="AL105" s="417"/>
      <c r="AM105" s="100"/>
      <c r="AN105" s="257">
        <v>0</v>
      </c>
      <c r="AO105" s="258"/>
      <c r="AP105" s="258"/>
      <c r="AQ105" s="258"/>
      <c r="AR105" s="259"/>
      <c r="AS105" s="239">
        <v>12.94</v>
      </c>
      <c r="AT105" s="240"/>
      <c r="AU105" s="240"/>
      <c r="AV105" s="240"/>
      <c r="AW105" s="241"/>
      <c r="AX105" s="92" t="str">
        <f t="shared" si="1"/>
        <v/>
      </c>
      <c r="AY105" s="5"/>
      <c r="AZ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5"/>
      <c r="DO105" s="5"/>
      <c r="DV105" s="5"/>
      <c r="DW105" s="5"/>
      <c r="DX105" s="5"/>
      <c r="DY105" s="5"/>
      <c r="DZ105" s="5"/>
      <c r="EA105" s="5"/>
      <c r="EB105" s="5"/>
      <c r="EC105" s="5"/>
      <c r="ED105" s="5"/>
      <c r="EE105" s="5"/>
      <c r="EF105" s="5"/>
      <c r="EG105" s="5"/>
      <c r="EH105" s="5"/>
      <c r="EI105" s="5"/>
      <c r="EJ105" s="5"/>
      <c r="EK105" s="5"/>
      <c r="EL105" s="5"/>
      <c r="EM105" s="5"/>
      <c r="EN105" s="5"/>
      <c r="EO105" s="5"/>
      <c r="EP105" s="5"/>
      <c r="EQ105" s="5"/>
      <c r="ER105" s="5"/>
      <c r="ES105" s="5"/>
      <c r="ET105" s="5"/>
      <c r="EU105" s="5"/>
      <c r="EV105" s="5"/>
      <c r="EW105" s="5"/>
      <c r="EX105" s="5"/>
      <c r="EY105" s="5"/>
      <c r="EZ105" s="5"/>
      <c r="FA105" s="5"/>
      <c r="FB105" s="5"/>
      <c r="FC105" s="5"/>
      <c r="FD105" s="5"/>
      <c r="FE105" s="5"/>
      <c r="FF105" s="5"/>
      <c r="FG105" s="5"/>
      <c r="FH105" s="5"/>
      <c r="FI105" s="5"/>
      <c r="FJ105" s="5"/>
      <c r="FK105" s="5"/>
      <c r="FL105" s="5"/>
      <c r="FM105" s="5"/>
      <c r="FN105" s="5"/>
      <c r="FO105" s="5"/>
      <c r="FP105" s="5"/>
      <c r="FQ105" s="5"/>
      <c r="FR105" s="5"/>
      <c r="FS105" s="5"/>
      <c r="FT105" s="5"/>
      <c r="FU105" s="5"/>
      <c r="FV105" s="5"/>
      <c r="FW105" s="5"/>
      <c r="FX105" s="5"/>
      <c r="FY105" s="5"/>
      <c r="FZ105" s="5"/>
      <c r="GA105" s="5"/>
      <c r="GB105" s="5"/>
      <c r="GC105" s="5"/>
      <c r="GD105" s="5"/>
      <c r="GE105" s="5"/>
      <c r="GF105" s="5"/>
      <c r="GG105" s="5"/>
      <c r="GH105" s="5"/>
      <c r="GI105" s="5"/>
      <c r="GJ105" s="5"/>
      <c r="GK105" s="5"/>
      <c r="GL105" s="5"/>
      <c r="GM105" s="5"/>
      <c r="GN105" s="5"/>
      <c r="GO105" s="5"/>
      <c r="GP105" s="5"/>
      <c r="GQ105" s="5"/>
      <c r="GR105" s="5"/>
      <c r="GS105" s="5"/>
      <c r="GT105" s="5"/>
      <c r="GU105" s="5"/>
      <c r="GV105" s="5"/>
      <c r="GW105" s="5"/>
      <c r="GX105" s="5"/>
      <c r="GY105" s="5"/>
      <c r="GZ105" s="5"/>
    </row>
    <row r="106" spans="7:208" ht="11.1" customHeight="1" x14ac:dyDescent="0.25">
      <c r="G106" s="398">
        <f t="shared" si="3"/>
        <v>8</v>
      </c>
      <c r="H106" s="398"/>
      <c r="I106" s="414" t="s">
        <v>396</v>
      </c>
      <c r="J106" s="414"/>
      <c r="K106" s="414"/>
      <c r="L106" s="414"/>
      <c r="M106" s="414"/>
      <c r="N106" s="414"/>
      <c r="O106" s="414"/>
      <c r="P106" s="414"/>
      <c r="Q106" s="414"/>
      <c r="R106" s="414"/>
      <c r="S106" s="414"/>
      <c r="T106" s="414"/>
      <c r="U106" s="414"/>
      <c r="V106" s="414"/>
      <c r="W106" s="415"/>
      <c r="X106" s="416">
        <f t="shared" si="0"/>
        <v>0</v>
      </c>
      <c r="Y106" s="416"/>
      <c r="Z106" s="417"/>
      <c r="AA106" s="417"/>
      <c r="AB106" s="381"/>
      <c r="AC106" s="381"/>
      <c r="AD106" s="381"/>
      <c r="AE106" s="382"/>
      <c r="AF106" s="382"/>
      <c r="AG106" s="382"/>
      <c r="AH106" s="382"/>
      <c r="AI106" s="416">
        <f t="shared" si="2"/>
        <v>0</v>
      </c>
      <c r="AJ106" s="416"/>
      <c r="AK106" s="417"/>
      <c r="AL106" s="417"/>
      <c r="AM106" s="100"/>
      <c r="AN106" s="257">
        <v>0</v>
      </c>
      <c r="AO106" s="258"/>
      <c r="AP106" s="258"/>
      <c r="AQ106" s="258"/>
      <c r="AR106" s="259"/>
      <c r="AS106" s="239">
        <v>10.1</v>
      </c>
      <c r="AT106" s="240"/>
      <c r="AU106" s="240"/>
      <c r="AV106" s="240"/>
      <c r="AW106" s="241"/>
      <c r="AX106" s="92" t="str">
        <f t="shared" si="1"/>
        <v/>
      </c>
      <c r="AY106" s="5"/>
      <c r="AZ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5"/>
      <c r="DO106" s="5"/>
      <c r="DP106" s="5"/>
      <c r="DQ106" s="5"/>
      <c r="DR106" s="5"/>
      <c r="DS106" s="5"/>
      <c r="DT106" s="5"/>
      <c r="DU106" s="5"/>
      <c r="DV106" s="5"/>
      <c r="DW106" s="5"/>
      <c r="DX106" s="5"/>
      <c r="DY106" s="5"/>
      <c r="DZ106" s="5"/>
      <c r="EA106" s="5"/>
      <c r="EB106" s="5"/>
      <c r="EC106" s="5"/>
      <c r="ED106" s="5"/>
      <c r="EE106" s="5"/>
      <c r="EF106" s="5"/>
      <c r="EG106" s="5"/>
      <c r="EH106" s="5"/>
      <c r="EI106" s="5"/>
      <c r="EJ106" s="5"/>
      <c r="EK106" s="5"/>
      <c r="EL106" s="5"/>
      <c r="EM106" s="5"/>
      <c r="EN106" s="5"/>
      <c r="EO106" s="5"/>
      <c r="EP106" s="5"/>
      <c r="EQ106" s="5"/>
      <c r="ER106" s="5"/>
      <c r="ES106" s="5"/>
      <c r="ET106" s="5"/>
      <c r="EU106" s="5"/>
      <c r="EV106" s="5"/>
      <c r="EW106" s="5"/>
      <c r="EX106" s="5"/>
      <c r="EY106" s="5"/>
      <c r="EZ106" s="5"/>
      <c r="FA106" s="5"/>
      <c r="FB106" s="5"/>
      <c r="FC106" s="5"/>
      <c r="FD106" s="5"/>
      <c r="FE106" s="5"/>
      <c r="FF106" s="5"/>
      <c r="FG106" s="5"/>
      <c r="FH106" s="5"/>
      <c r="FI106" s="5"/>
      <c r="FJ106" s="5"/>
      <c r="FK106" s="5"/>
      <c r="FL106" s="5"/>
      <c r="FM106" s="5"/>
      <c r="FN106" s="5"/>
      <c r="FO106" s="5"/>
      <c r="FP106" s="5"/>
      <c r="FQ106" s="5"/>
      <c r="FR106" s="5"/>
      <c r="FS106" s="5"/>
      <c r="FT106" s="5"/>
      <c r="FU106" s="5"/>
      <c r="FV106" s="5"/>
      <c r="FW106" s="5"/>
      <c r="FX106" s="5"/>
      <c r="FY106" s="5"/>
      <c r="FZ106" s="5"/>
      <c r="GA106" s="5"/>
      <c r="GB106" s="5"/>
      <c r="GC106" s="5"/>
      <c r="GD106" s="5"/>
      <c r="GE106" s="5"/>
      <c r="GF106" s="5"/>
      <c r="GG106" s="5"/>
      <c r="GH106" s="5"/>
      <c r="GI106" s="5"/>
      <c r="GJ106" s="5"/>
      <c r="GK106" s="5"/>
      <c r="GL106" s="5"/>
      <c r="GM106" s="5"/>
      <c r="GN106" s="5"/>
      <c r="GO106" s="5"/>
      <c r="GP106" s="5"/>
      <c r="GQ106" s="5"/>
      <c r="GR106" s="5"/>
      <c r="GS106" s="5"/>
      <c r="GT106" s="5"/>
      <c r="GU106" s="5"/>
      <c r="GV106" s="5"/>
      <c r="GW106" s="5"/>
      <c r="GX106" s="5"/>
      <c r="GY106" s="5"/>
      <c r="GZ106" s="5"/>
    </row>
    <row r="107" spans="7:208" ht="11.1" customHeight="1" x14ac:dyDescent="0.25">
      <c r="G107" s="398">
        <f t="shared" si="3"/>
        <v>9</v>
      </c>
      <c r="H107" s="398"/>
      <c r="I107" s="414" t="s">
        <v>62</v>
      </c>
      <c r="J107" s="414"/>
      <c r="K107" s="414"/>
      <c r="L107" s="414"/>
      <c r="M107" s="414"/>
      <c r="N107" s="414"/>
      <c r="O107" s="414"/>
      <c r="P107" s="414"/>
      <c r="Q107" s="414"/>
      <c r="R107" s="414"/>
      <c r="S107" s="414"/>
      <c r="T107" s="414"/>
      <c r="U107" s="414"/>
      <c r="V107" s="414"/>
      <c r="W107" s="415"/>
      <c r="X107" s="416">
        <f t="shared" si="0"/>
        <v>0</v>
      </c>
      <c r="Y107" s="416"/>
      <c r="Z107" s="417"/>
      <c r="AA107" s="417"/>
      <c r="AB107" s="381"/>
      <c r="AC107" s="381"/>
      <c r="AD107" s="381"/>
      <c r="AE107" s="382"/>
      <c r="AF107" s="382"/>
      <c r="AG107" s="382"/>
      <c r="AH107" s="382"/>
      <c r="AI107" s="416">
        <f t="shared" si="2"/>
        <v>0</v>
      </c>
      <c r="AJ107" s="416"/>
      <c r="AK107" s="417"/>
      <c r="AL107" s="417"/>
      <c r="AM107" s="100"/>
      <c r="AN107" s="242">
        <v>6.81</v>
      </c>
      <c r="AO107" s="243"/>
      <c r="AP107" s="243"/>
      <c r="AQ107" s="243"/>
      <c r="AR107" s="244"/>
      <c r="AS107" s="239">
        <v>9.32</v>
      </c>
      <c r="AT107" s="240"/>
      <c r="AU107" s="240"/>
      <c r="AV107" s="240"/>
      <c r="AW107" s="241"/>
      <c r="AX107" s="92" t="str">
        <f t="shared" si="1"/>
        <v/>
      </c>
      <c r="AY107" s="5"/>
      <c r="AZ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5"/>
      <c r="DO107" s="5"/>
      <c r="DP107" s="5"/>
      <c r="DQ107" s="5"/>
      <c r="DR107" s="5"/>
      <c r="DS107" s="5"/>
      <c r="DT107" s="5"/>
      <c r="DU107" s="5"/>
      <c r="DV107" s="5"/>
      <c r="DW107" s="5"/>
      <c r="DX107" s="5"/>
      <c r="DY107" s="5"/>
      <c r="DZ107" s="5"/>
      <c r="EA107" s="5"/>
      <c r="EB107" s="5"/>
      <c r="EC107" s="5"/>
      <c r="ED107" s="5"/>
      <c r="EE107" s="5"/>
      <c r="EF107" s="5"/>
      <c r="EG107" s="5"/>
      <c r="EH107" s="5"/>
      <c r="EI107" s="5"/>
      <c r="EJ107" s="5"/>
      <c r="EK107" s="5"/>
      <c r="EL107" s="5"/>
      <c r="EM107" s="5"/>
      <c r="EN107" s="5"/>
      <c r="EO107" s="5"/>
      <c r="EP107" s="5"/>
      <c r="EQ107" s="5"/>
      <c r="ER107" s="5"/>
      <c r="ES107" s="5"/>
      <c r="ET107" s="5"/>
      <c r="EU107" s="5"/>
      <c r="EV107" s="5"/>
      <c r="EW107" s="5"/>
      <c r="EX107" s="5"/>
      <c r="EY107" s="5"/>
      <c r="EZ107" s="5"/>
      <c r="FA107" s="5"/>
      <c r="FB107" s="5"/>
      <c r="FC107" s="5"/>
      <c r="FD107" s="5"/>
      <c r="FE107" s="5"/>
      <c r="FF107" s="5"/>
      <c r="FG107" s="5"/>
      <c r="FH107" s="5"/>
      <c r="FI107" s="5"/>
      <c r="FJ107" s="5"/>
      <c r="FK107" s="5"/>
      <c r="FL107" s="5"/>
      <c r="FM107" s="5"/>
      <c r="FN107" s="5"/>
      <c r="FO107" s="5"/>
      <c r="FP107" s="5"/>
      <c r="FQ107" s="5"/>
      <c r="FR107" s="5"/>
      <c r="FS107" s="5"/>
      <c r="FT107" s="5"/>
      <c r="FU107" s="5"/>
      <c r="FV107" s="5"/>
      <c r="FW107" s="5"/>
      <c r="FX107" s="5"/>
      <c r="FY107" s="5"/>
      <c r="FZ107" s="5"/>
      <c r="GA107" s="5"/>
      <c r="GB107" s="5"/>
      <c r="GC107" s="5"/>
      <c r="GD107" s="5"/>
      <c r="GE107" s="5"/>
      <c r="GF107" s="5"/>
      <c r="GG107" s="5"/>
      <c r="GH107" s="5"/>
      <c r="GI107" s="5"/>
      <c r="GJ107" s="5"/>
      <c r="GK107" s="5"/>
      <c r="GL107" s="5"/>
      <c r="GM107" s="5"/>
      <c r="GN107" s="5"/>
      <c r="GO107" s="5"/>
      <c r="GP107" s="5"/>
      <c r="GQ107" s="5"/>
      <c r="GR107" s="5"/>
      <c r="GS107" s="5"/>
      <c r="GT107" s="5"/>
      <c r="GU107" s="5"/>
      <c r="GV107" s="5"/>
      <c r="GW107" s="5"/>
      <c r="GX107" s="5"/>
      <c r="GY107" s="5"/>
      <c r="GZ107" s="5"/>
    </row>
    <row r="108" spans="7:208" ht="11.1" customHeight="1" x14ac:dyDescent="0.25">
      <c r="G108" s="398">
        <f t="shared" si="3"/>
        <v>10</v>
      </c>
      <c r="H108" s="398"/>
      <c r="I108" s="414" t="s">
        <v>34</v>
      </c>
      <c r="J108" s="414"/>
      <c r="K108" s="414"/>
      <c r="L108" s="414"/>
      <c r="M108" s="414"/>
      <c r="N108" s="414"/>
      <c r="O108" s="414"/>
      <c r="P108" s="414"/>
      <c r="Q108" s="414"/>
      <c r="R108" s="414"/>
      <c r="S108" s="414"/>
      <c r="T108" s="414"/>
      <c r="U108" s="414"/>
      <c r="V108" s="414"/>
      <c r="W108" s="415"/>
      <c r="X108" s="416">
        <f t="shared" si="0"/>
        <v>0</v>
      </c>
      <c r="Y108" s="416"/>
      <c r="Z108" s="417"/>
      <c r="AA108" s="417"/>
      <c r="AB108" s="380"/>
      <c r="AC108" s="381"/>
      <c r="AD108" s="381"/>
      <c r="AE108" s="382"/>
      <c r="AF108" s="382"/>
      <c r="AG108" s="382"/>
      <c r="AH108" s="382"/>
      <c r="AI108" s="416">
        <f t="shared" si="2"/>
        <v>0</v>
      </c>
      <c r="AJ108" s="416"/>
      <c r="AK108" s="417"/>
      <c r="AL108" s="417"/>
      <c r="AM108" s="100"/>
      <c r="AN108" s="257">
        <v>0</v>
      </c>
      <c r="AO108" s="258"/>
      <c r="AP108" s="258"/>
      <c r="AQ108" s="258"/>
      <c r="AR108" s="259"/>
      <c r="AS108" s="239">
        <v>2.1800000000000002</v>
      </c>
      <c r="AT108" s="240"/>
      <c r="AU108" s="240"/>
      <c r="AV108" s="240"/>
      <c r="AW108" s="241"/>
      <c r="AX108" s="92" t="str">
        <f t="shared" si="1"/>
        <v/>
      </c>
      <c r="AY108" s="5"/>
      <c r="AZ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/>
      <c r="DN108" s="5"/>
      <c r="DO108" s="5"/>
      <c r="DP108" s="5"/>
      <c r="DQ108" s="5"/>
      <c r="DR108" s="5"/>
      <c r="DS108" s="5"/>
      <c r="DT108" s="5"/>
      <c r="DU108" s="5"/>
      <c r="DV108" s="5"/>
      <c r="DW108" s="5"/>
      <c r="DX108" s="5"/>
      <c r="DY108" s="5"/>
      <c r="DZ108" s="5"/>
      <c r="EA108" s="5"/>
      <c r="EB108" s="5"/>
      <c r="EC108" s="5"/>
      <c r="ED108" s="5"/>
      <c r="EE108" s="5"/>
      <c r="EF108" s="5"/>
      <c r="EG108" s="5"/>
      <c r="EH108" s="5"/>
      <c r="EI108" s="5"/>
      <c r="EJ108" s="5"/>
      <c r="EK108" s="5"/>
      <c r="EL108" s="5"/>
      <c r="EM108" s="5"/>
      <c r="EN108" s="5"/>
      <c r="EO108" s="5"/>
      <c r="EP108" s="5"/>
      <c r="EQ108" s="5"/>
      <c r="ER108" s="5"/>
      <c r="ES108" s="5"/>
      <c r="ET108" s="5"/>
      <c r="EU108" s="5"/>
      <c r="EV108" s="5"/>
      <c r="EW108" s="5"/>
      <c r="EX108" s="5"/>
      <c r="EY108" s="5"/>
      <c r="EZ108" s="5"/>
      <c r="FA108" s="5"/>
      <c r="FB108" s="5"/>
      <c r="FC108" s="5"/>
      <c r="FD108" s="5"/>
      <c r="FE108" s="5"/>
      <c r="FF108" s="5"/>
      <c r="FG108" s="5"/>
      <c r="FH108" s="5"/>
      <c r="FI108" s="5"/>
      <c r="FJ108" s="5"/>
      <c r="FK108" s="5"/>
      <c r="FL108" s="5"/>
      <c r="FM108" s="5"/>
      <c r="FN108" s="5"/>
      <c r="FO108" s="5"/>
      <c r="FP108" s="5"/>
      <c r="FQ108" s="5"/>
      <c r="FR108" s="5"/>
      <c r="FS108" s="5"/>
      <c r="FT108" s="5"/>
      <c r="FU108" s="5"/>
      <c r="FV108" s="5"/>
      <c r="FW108" s="5"/>
      <c r="FX108" s="5"/>
      <c r="FY108" s="5"/>
      <c r="FZ108" s="5"/>
      <c r="GA108" s="5"/>
      <c r="GB108" s="5"/>
      <c r="GC108" s="5"/>
      <c r="GD108" s="5"/>
      <c r="GE108" s="5"/>
      <c r="GF108" s="5"/>
      <c r="GG108" s="5"/>
      <c r="GH108" s="5"/>
      <c r="GI108" s="5"/>
      <c r="GJ108" s="5"/>
      <c r="GK108" s="5"/>
      <c r="GL108" s="5"/>
      <c r="GM108" s="5"/>
      <c r="GN108" s="5"/>
      <c r="GO108" s="5"/>
      <c r="GP108" s="5"/>
      <c r="GQ108" s="5"/>
      <c r="GR108" s="5"/>
      <c r="GS108" s="5"/>
      <c r="GT108" s="5"/>
      <c r="GU108" s="5"/>
      <c r="GV108" s="5"/>
      <c r="GW108" s="5"/>
      <c r="GX108" s="5"/>
      <c r="GY108" s="5"/>
      <c r="GZ108" s="5"/>
    </row>
    <row r="109" spans="7:208" ht="11.1" customHeight="1" x14ac:dyDescent="0.25">
      <c r="G109" s="398">
        <f t="shared" si="3"/>
        <v>11</v>
      </c>
      <c r="H109" s="398"/>
      <c r="I109" s="414" t="s">
        <v>63</v>
      </c>
      <c r="J109" s="414"/>
      <c r="K109" s="414"/>
      <c r="L109" s="414"/>
      <c r="M109" s="414"/>
      <c r="N109" s="414"/>
      <c r="O109" s="414"/>
      <c r="P109" s="414"/>
      <c r="Q109" s="414"/>
      <c r="R109" s="414"/>
      <c r="S109" s="414"/>
      <c r="T109" s="414"/>
      <c r="U109" s="414"/>
      <c r="V109" s="414"/>
      <c r="W109" s="415"/>
      <c r="X109" s="416">
        <f t="shared" si="0"/>
        <v>0</v>
      </c>
      <c r="Y109" s="416"/>
      <c r="Z109" s="417"/>
      <c r="AA109" s="417"/>
      <c r="AB109" s="380"/>
      <c r="AC109" s="381"/>
      <c r="AD109" s="381"/>
      <c r="AE109" s="382"/>
      <c r="AF109" s="382"/>
      <c r="AG109" s="382"/>
      <c r="AH109" s="382"/>
      <c r="AI109" s="416">
        <f t="shared" si="2"/>
        <v>0</v>
      </c>
      <c r="AJ109" s="416"/>
      <c r="AK109" s="417"/>
      <c r="AL109" s="417"/>
      <c r="AM109" s="100"/>
      <c r="AN109" s="242">
        <v>3.87</v>
      </c>
      <c r="AO109" s="243"/>
      <c r="AP109" s="243"/>
      <c r="AQ109" s="243"/>
      <c r="AR109" s="244"/>
      <c r="AS109" s="239">
        <v>5.3</v>
      </c>
      <c r="AT109" s="240"/>
      <c r="AU109" s="240"/>
      <c r="AV109" s="240"/>
      <c r="AW109" s="241"/>
      <c r="AX109" s="92" t="str">
        <f t="shared" si="1"/>
        <v/>
      </c>
      <c r="AY109" s="5"/>
      <c r="AZ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5"/>
      <c r="DN109" s="5"/>
      <c r="DO109" s="5"/>
      <c r="DP109" s="5"/>
      <c r="DQ109" s="5"/>
      <c r="DR109" s="5"/>
      <c r="DS109" s="5"/>
      <c r="DT109" s="5"/>
      <c r="DU109" s="5"/>
      <c r="DV109" s="5"/>
      <c r="DW109" s="5"/>
      <c r="DX109" s="5"/>
      <c r="DY109" s="5"/>
      <c r="DZ109" s="5"/>
      <c r="EA109" s="5"/>
      <c r="EB109" s="5"/>
      <c r="EC109" s="5"/>
      <c r="ED109" s="5"/>
      <c r="EE109" s="5"/>
      <c r="EF109" s="5"/>
      <c r="EG109" s="5"/>
      <c r="EH109" s="5"/>
      <c r="EI109" s="5"/>
      <c r="EJ109" s="5"/>
      <c r="EK109" s="5"/>
      <c r="EL109" s="5"/>
      <c r="EM109" s="5"/>
      <c r="EN109" s="5"/>
      <c r="EO109" s="5"/>
      <c r="EP109" s="5"/>
      <c r="EQ109" s="5"/>
      <c r="ER109" s="5"/>
      <c r="ES109" s="5"/>
      <c r="ET109" s="5"/>
      <c r="EU109" s="5"/>
      <c r="EV109" s="5"/>
      <c r="EW109" s="5"/>
      <c r="EX109" s="5"/>
      <c r="EY109" s="5"/>
      <c r="EZ109" s="5"/>
      <c r="FA109" s="5"/>
      <c r="FB109" s="5"/>
      <c r="FC109" s="5"/>
      <c r="FD109" s="5"/>
      <c r="FE109" s="5"/>
      <c r="FF109" s="5"/>
      <c r="FG109" s="5"/>
      <c r="FH109" s="5"/>
      <c r="FI109" s="5"/>
      <c r="FJ109" s="5"/>
      <c r="FK109" s="5"/>
      <c r="FL109" s="5"/>
      <c r="FM109" s="5"/>
      <c r="FN109" s="5"/>
      <c r="FO109" s="5"/>
      <c r="FP109" s="5"/>
      <c r="FQ109" s="5"/>
      <c r="FR109" s="5"/>
      <c r="FS109" s="5"/>
      <c r="FT109" s="5"/>
      <c r="FU109" s="5"/>
      <c r="FV109" s="5"/>
      <c r="FW109" s="5"/>
      <c r="FX109" s="5"/>
      <c r="FY109" s="5"/>
      <c r="FZ109" s="5"/>
      <c r="GA109" s="5"/>
      <c r="GB109" s="5"/>
      <c r="GC109" s="5"/>
      <c r="GD109" s="5"/>
      <c r="GE109" s="5"/>
      <c r="GF109" s="5"/>
      <c r="GG109" s="5"/>
      <c r="GH109" s="5"/>
      <c r="GI109" s="5"/>
      <c r="GJ109" s="5"/>
      <c r="GK109" s="5"/>
      <c r="GL109" s="5"/>
      <c r="GM109" s="5"/>
      <c r="GN109" s="5"/>
      <c r="GO109" s="5"/>
      <c r="GP109" s="5"/>
      <c r="GQ109" s="5"/>
      <c r="GR109" s="5"/>
      <c r="GS109" s="5"/>
      <c r="GT109" s="5"/>
      <c r="GU109" s="5"/>
      <c r="GV109" s="5"/>
      <c r="GW109" s="5"/>
      <c r="GX109" s="5"/>
      <c r="GY109" s="5"/>
      <c r="GZ109" s="5"/>
    </row>
    <row r="110" spans="7:208" ht="11.1" customHeight="1" x14ac:dyDescent="0.25">
      <c r="G110" s="398">
        <f t="shared" si="3"/>
        <v>12</v>
      </c>
      <c r="H110" s="398"/>
      <c r="I110" s="414" t="s">
        <v>197</v>
      </c>
      <c r="J110" s="414"/>
      <c r="K110" s="414"/>
      <c r="L110" s="414"/>
      <c r="M110" s="414"/>
      <c r="N110" s="414"/>
      <c r="O110" s="414"/>
      <c r="P110" s="414"/>
      <c r="Q110" s="414"/>
      <c r="R110" s="414"/>
      <c r="S110" s="414"/>
      <c r="T110" s="414"/>
      <c r="U110" s="414"/>
      <c r="V110" s="414"/>
      <c r="W110" s="415"/>
      <c r="X110" s="416">
        <f t="shared" si="0"/>
        <v>0</v>
      </c>
      <c r="Y110" s="416"/>
      <c r="Z110" s="417"/>
      <c r="AA110" s="417"/>
      <c r="AB110" s="380"/>
      <c r="AC110" s="381"/>
      <c r="AD110" s="381"/>
      <c r="AE110" s="382"/>
      <c r="AF110" s="382"/>
      <c r="AG110" s="382"/>
      <c r="AH110" s="382"/>
      <c r="AI110" s="416">
        <f>X110+AI111</f>
        <v>0</v>
      </c>
      <c r="AJ110" s="416"/>
      <c r="AK110" s="417"/>
      <c r="AL110" s="417"/>
      <c r="AM110" s="100"/>
      <c r="AN110" s="242">
        <v>3.63</v>
      </c>
      <c r="AO110" s="243"/>
      <c r="AP110" s="243"/>
      <c r="AQ110" s="243"/>
      <c r="AR110" s="244"/>
      <c r="AS110" s="239">
        <v>6.47</v>
      </c>
      <c r="AT110" s="240"/>
      <c r="AU110" s="240"/>
      <c r="AV110" s="240"/>
      <c r="AW110" s="241"/>
      <c r="AX110" s="92" t="str">
        <f>IF(X110=0,"",IF(X110&gt;AS110,"Excede máximo - justifique",IF(X110&lt;AN110,"Abaixo do mínimo","OK")))</f>
        <v/>
      </c>
      <c r="AY110" s="5"/>
      <c r="AZ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5"/>
      <c r="DN110" s="5"/>
      <c r="DO110" s="5"/>
      <c r="DP110" s="5"/>
      <c r="DQ110" s="5"/>
      <c r="DR110" s="5"/>
      <c r="DS110" s="5"/>
      <c r="DT110" s="5"/>
      <c r="DU110" s="5"/>
      <c r="DV110" s="5"/>
      <c r="DW110" s="5"/>
      <c r="DX110" s="5"/>
      <c r="DY110" s="5"/>
      <c r="DZ110" s="5"/>
      <c r="EA110" s="5"/>
      <c r="EB110" s="5"/>
      <c r="EC110" s="5"/>
      <c r="ED110" s="5"/>
      <c r="EE110" s="5"/>
      <c r="EF110" s="5"/>
      <c r="EG110" s="5"/>
      <c r="EH110" s="5"/>
      <c r="EI110" s="5"/>
      <c r="EJ110" s="5"/>
      <c r="EK110" s="5"/>
      <c r="EL110" s="5"/>
      <c r="EM110" s="5"/>
      <c r="EN110" s="5"/>
      <c r="EO110" s="5"/>
      <c r="EP110" s="5"/>
      <c r="EQ110" s="5"/>
      <c r="ER110" s="5"/>
      <c r="ES110" s="5"/>
      <c r="ET110" s="5"/>
      <c r="EU110" s="5"/>
      <c r="EV110" s="5"/>
      <c r="EW110" s="5"/>
      <c r="EX110" s="5"/>
      <c r="EY110" s="5"/>
      <c r="EZ110" s="5"/>
      <c r="FA110" s="5"/>
      <c r="FB110" s="5"/>
      <c r="FC110" s="5"/>
      <c r="FD110" s="5"/>
      <c r="FE110" s="5"/>
      <c r="FF110" s="5"/>
      <c r="FG110" s="5"/>
      <c r="FH110" s="5"/>
      <c r="FI110" s="5"/>
      <c r="FJ110" s="5"/>
      <c r="FK110" s="5"/>
      <c r="FL110" s="5"/>
      <c r="FM110" s="5"/>
      <c r="FN110" s="5"/>
      <c r="FO110" s="5"/>
      <c r="FP110" s="5"/>
      <c r="FQ110" s="5"/>
      <c r="FR110" s="5"/>
      <c r="FS110" s="5"/>
      <c r="FT110" s="5"/>
      <c r="FU110" s="5"/>
      <c r="FV110" s="5"/>
      <c r="FW110" s="5"/>
      <c r="FX110" s="5"/>
      <c r="FY110" s="5"/>
      <c r="FZ110" s="5"/>
      <c r="GA110" s="5"/>
      <c r="GB110" s="5"/>
      <c r="GC110" s="5"/>
      <c r="GD110" s="5"/>
      <c r="GE110" s="5"/>
      <c r="GF110" s="5"/>
      <c r="GG110" s="5"/>
      <c r="GH110" s="5"/>
      <c r="GI110" s="5"/>
      <c r="GJ110" s="5"/>
      <c r="GK110" s="5"/>
      <c r="GL110" s="5"/>
      <c r="GM110" s="5"/>
      <c r="GN110" s="5"/>
      <c r="GO110" s="5"/>
      <c r="GP110" s="5"/>
      <c r="GQ110" s="5"/>
      <c r="GR110" s="5"/>
      <c r="GS110" s="5"/>
      <c r="GT110" s="5"/>
      <c r="GU110" s="5"/>
      <c r="GV110" s="5"/>
      <c r="GW110" s="5"/>
      <c r="GX110" s="5"/>
      <c r="GY110" s="5"/>
      <c r="GZ110" s="5"/>
    </row>
    <row r="111" spans="7:208" ht="11.1" customHeight="1" x14ac:dyDescent="0.25">
      <c r="G111" s="398">
        <f t="shared" si="3"/>
        <v>13</v>
      </c>
      <c r="H111" s="398"/>
      <c r="I111" s="414" t="s">
        <v>35</v>
      </c>
      <c r="J111" s="414"/>
      <c r="K111" s="414"/>
      <c r="L111" s="414"/>
      <c r="M111" s="414"/>
      <c r="N111" s="414"/>
      <c r="O111" s="414"/>
      <c r="P111" s="414"/>
      <c r="Q111" s="414"/>
      <c r="R111" s="414"/>
      <c r="S111" s="414"/>
      <c r="T111" s="414"/>
      <c r="U111" s="414"/>
      <c r="V111" s="414"/>
      <c r="W111" s="415"/>
      <c r="X111" s="416">
        <f t="shared" si="0"/>
        <v>0</v>
      </c>
      <c r="Y111" s="416"/>
      <c r="Z111" s="417"/>
      <c r="AA111" s="417"/>
      <c r="AB111" s="380"/>
      <c r="AC111" s="381"/>
      <c r="AD111" s="381"/>
      <c r="AE111" s="382"/>
      <c r="AF111" s="382"/>
      <c r="AG111" s="382"/>
      <c r="AH111" s="382"/>
      <c r="AI111" s="416">
        <f>X111+AI109</f>
        <v>0</v>
      </c>
      <c r="AJ111" s="416"/>
      <c r="AK111" s="417"/>
      <c r="AL111" s="417"/>
      <c r="AM111" s="100"/>
      <c r="AN111" s="242">
        <v>8.41</v>
      </c>
      <c r="AO111" s="243"/>
      <c r="AP111" s="243"/>
      <c r="AQ111" s="243"/>
      <c r="AR111" s="244"/>
      <c r="AS111" s="239">
        <v>11.51</v>
      </c>
      <c r="AT111" s="240"/>
      <c r="AU111" s="240"/>
      <c r="AV111" s="240"/>
      <c r="AW111" s="241"/>
      <c r="AX111" s="92" t="str">
        <f t="shared" si="1"/>
        <v/>
      </c>
      <c r="AY111" s="5"/>
      <c r="AZ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5"/>
      <c r="DM111" s="5"/>
      <c r="DN111" s="5"/>
      <c r="DO111" s="5"/>
      <c r="DP111" s="5"/>
      <c r="DQ111" s="5"/>
      <c r="DR111" s="5"/>
      <c r="DS111" s="5"/>
      <c r="DX111" s="5"/>
      <c r="DY111" s="5"/>
      <c r="DZ111" s="5"/>
      <c r="EA111" s="5"/>
      <c r="EB111" s="5"/>
      <c r="EC111" s="5"/>
      <c r="ED111" s="5"/>
      <c r="EE111" s="5"/>
      <c r="EF111" s="5"/>
      <c r="EG111" s="5"/>
      <c r="EH111" s="5"/>
      <c r="EI111" s="5"/>
      <c r="EJ111" s="5"/>
      <c r="EK111" s="5"/>
      <c r="EL111" s="5"/>
      <c r="EM111" s="5"/>
      <c r="EN111" s="5"/>
      <c r="EO111" s="5"/>
      <c r="EP111" s="5"/>
      <c r="EQ111" s="5"/>
      <c r="ER111" s="5"/>
      <c r="ES111" s="5"/>
      <c r="ET111" s="5"/>
      <c r="EU111" s="5"/>
      <c r="EV111" s="5"/>
      <c r="EW111" s="5"/>
      <c r="EX111" s="5"/>
      <c r="EY111" s="5"/>
      <c r="EZ111" s="5"/>
      <c r="FA111" s="5"/>
      <c r="FB111" s="5"/>
      <c r="FC111" s="5"/>
      <c r="FD111" s="5"/>
      <c r="FE111" s="5"/>
      <c r="FF111" s="5"/>
      <c r="FG111" s="5"/>
      <c r="FH111" s="5"/>
      <c r="FI111" s="5"/>
      <c r="FJ111" s="5"/>
      <c r="FK111" s="5"/>
      <c r="FL111" s="5"/>
      <c r="FM111" s="5"/>
      <c r="FN111" s="5"/>
      <c r="FO111" s="5"/>
      <c r="FP111" s="5"/>
      <c r="FQ111" s="5"/>
      <c r="FR111" s="5"/>
      <c r="FS111" s="5"/>
      <c r="FT111" s="5"/>
      <c r="FU111" s="5"/>
      <c r="FV111" s="5"/>
      <c r="FW111" s="5"/>
      <c r="FX111" s="5"/>
      <c r="FY111" s="5"/>
      <c r="FZ111" s="5"/>
      <c r="GA111" s="5"/>
      <c r="GB111" s="5"/>
      <c r="GC111" s="5"/>
      <c r="GD111" s="5"/>
      <c r="GE111" s="5"/>
      <c r="GF111" s="5"/>
      <c r="GG111" s="5"/>
      <c r="GH111" s="5"/>
      <c r="GI111" s="5"/>
      <c r="GJ111" s="5"/>
      <c r="GK111" s="5"/>
      <c r="GL111" s="5"/>
      <c r="GM111" s="5"/>
      <c r="GN111" s="5"/>
      <c r="GO111" s="5"/>
      <c r="GP111" s="5"/>
      <c r="GQ111" s="5"/>
      <c r="GR111" s="5"/>
      <c r="GS111" s="5"/>
      <c r="GT111" s="5"/>
      <c r="GU111" s="5"/>
      <c r="GV111" s="5"/>
      <c r="GW111" s="5"/>
      <c r="GX111" s="5"/>
      <c r="GY111" s="5"/>
      <c r="GZ111" s="5"/>
    </row>
    <row r="112" spans="7:208" ht="11.1" customHeight="1" x14ac:dyDescent="0.25">
      <c r="G112" s="398">
        <f t="shared" si="3"/>
        <v>14</v>
      </c>
      <c r="H112" s="398"/>
      <c r="I112" s="414" t="s">
        <v>457</v>
      </c>
      <c r="J112" s="414"/>
      <c r="K112" s="414"/>
      <c r="L112" s="414"/>
      <c r="M112" s="414"/>
      <c r="N112" s="414"/>
      <c r="O112" s="414"/>
      <c r="P112" s="414"/>
      <c r="Q112" s="414"/>
      <c r="R112" s="414"/>
      <c r="S112" s="414"/>
      <c r="T112" s="414"/>
      <c r="U112" s="414"/>
      <c r="V112" s="414"/>
      <c r="W112" s="415"/>
      <c r="X112" s="416">
        <f t="shared" si="0"/>
        <v>0</v>
      </c>
      <c r="Y112" s="416"/>
      <c r="Z112" s="417"/>
      <c r="AA112" s="417"/>
      <c r="AB112" s="380"/>
      <c r="AC112" s="381"/>
      <c r="AD112" s="381"/>
      <c r="AE112" s="382"/>
      <c r="AF112" s="382"/>
      <c r="AG112" s="382"/>
      <c r="AH112" s="382"/>
      <c r="AI112" s="416">
        <f>X112+AI110</f>
        <v>0</v>
      </c>
      <c r="AJ112" s="416"/>
      <c r="AK112" s="417"/>
      <c r="AL112" s="417"/>
      <c r="AM112" s="100"/>
      <c r="AN112" s="242">
        <v>1.01</v>
      </c>
      <c r="AO112" s="243"/>
      <c r="AP112" s="243"/>
      <c r="AQ112" s="243"/>
      <c r="AR112" s="244"/>
      <c r="AS112" s="239">
        <v>1.38</v>
      </c>
      <c r="AT112" s="240"/>
      <c r="AU112" s="240"/>
      <c r="AV112" s="240"/>
      <c r="AW112" s="241"/>
      <c r="AX112" s="92" t="str">
        <f t="shared" si="1"/>
        <v/>
      </c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5"/>
      <c r="DM112" s="5"/>
      <c r="DN112" s="5"/>
      <c r="DO112" s="5"/>
      <c r="DP112" s="5"/>
      <c r="DQ112" s="5"/>
      <c r="DR112" s="5"/>
      <c r="DS112" s="5"/>
      <c r="DT112" s="5"/>
      <c r="DU112" s="5"/>
      <c r="DV112" s="5"/>
      <c r="DW112" s="5"/>
      <c r="DX112" s="5"/>
      <c r="DY112" s="5"/>
      <c r="DZ112" s="5"/>
      <c r="EA112" s="5"/>
      <c r="EB112" s="5"/>
      <c r="EC112" s="5"/>
      <c r="ED112" s="5"/>
      <c r="EE112" s="5"/>
      <c r="EF112" s="5"/>
      <c r="EG112" s="5"/>
      <c r="EH112" s="5"/>
      <c r="EI112" s="5"/>
      <c r="EJ112" s="5"/>
      <c r="EK112" s="5"/>
      <c r="EL112" s="5"/>
      <c r="EM112" s="5"/>
      <c r="EN112" s="5"/>
      <c r="EO112" s="5"/>
      <c r="EP112" s="5"/>
      <c r="EQ112" s="5"/>
      <c r="ER112" s="5"/>
      <c r="ES112" s="5"/>
      <c r="ET112" s="5"/>
      <c r="EU112" s="5"/>
      <c r="EV112" s="5"/>
      <c r="EW112" s="5"/>
      <c r="EX112" s="5"/>
      <c r="EY112" s="5"/>
      <c r="EZ112" s="5"/>
      <c r="FA112" s="5"/>
      <c r="FB112" s="5"/>
      <c r="FC112" s="5"/>
      <c r="FD112" s="5"/>
      <c r="FE112" s="5"/>
      <c r="FF112" s="5"/>
      <c r="FG112" s="5"/>
      <c r="FH112" s="5"/>
      <c r="FI112" s="5"/>
      <c r="FJ112" s="5"/>
      <c r="FK112" s="5"/>
      <c r="FL112" s="5"/>
      <c r="FM112" s="5"/>
      <c r="FN112" s="5"/>
      <c r="FO112" s="5"/>
      <c r="FP112" s="5"/>
      <c r="FQ112" s="5"/>
      <c r="FR112" s="5"/>
      <c r="FS112" s="5"/>
      <c r="FT112" s="5"/>
      <c r="FU112" s="5"/>
      <c r="FV112" s="5"/>
      <c r="FW112" s="5"/>
      <c r="FX112" s="5"/>
      <c r="FY112" s="5"/>
      <c r="FZ112" s="5"/>
      <c r="GA112" s="5"/>
      <c r="GB112" s="5"/>
      <c r="GC112" s="5"/>
      <c r="GD112" s="5"/>
      <c r="GE112" s="5"/>
      <c r="GF112" s="5"/>
      <c r="GG112" s="5"/>
      <c r="GH112" s="5"/>
      <c r="GI112" s="5"/>
      <c r="GJ112" s="5"/>
      <c r="GK112" s="5"/>
      <c r="GL112" s="5"/>
      <c r="GM112" s="5"/>
      <c r="GN112" s="5"/>
      <c r="GO112" s="5"/>
      <c r="GP112" s="5"/>
      <c r="GQ112" s="5"/>
      <c r="GR112" s="5"/>
      <c r="GS112" s="5"/>
      <c r="GT112" s="5"/>
      <c r="GU112" s="5"/>
      <c r="GV112" s="5"/>
      <c r="GW112" s="5"/>
      <c r="GX112" s="5"/>
      <c r="GY112" s="5"/>
      <c r="GZ112" s="5"/>
    </row>
    <row r="113" spans="1:208" ht="11.1" customHeight="1" x14ac:dyDescent="0.25">
      <c r="G113" s="398">
        <f t="shared" si="3"/>
        <v>15</v>
      </c>
      <c r="H113" s="398"/>
      <c r="I113" s="414" t="s">
        <v>198</v>
      </c>
      <c r="J113" s="414"/>
      <c r="K113" s="414"/>
      <c r="L113" s="414"/>
      <c r="M113" s="414"/>
      <c r="N113" s="414"/>
      <c r="O113" s="414"/>
      <c r="P113" s="414"/>
      <c r="Q113" s="414"/>
      <c r="R113" s="414"/>
      <c r="S113" s="414"/>
      <c r="T113" s="414"/>
      <c r="U113" s="414"/>
      <c r="V113" s="414"/>
      <c r="W113" s="415"/>
      <c r="X113" s="416">
        <f t="shared" si="0"/>
        <v>0</v>
      </c>
      <c r="Y113" s="416"/>
      <c r="Z113" s="417"/>
      <c r="AA113" s="417"/>
      <c r="AB113" s="380"/>
      <c r="AC113" s="381"/>
      <c r="AD113" s="381"/>
      <c r="AE113" s="382"/>
      <c r="AF113" s="382"/>
      <c r="AG113" s="382"/>
      <c r="AH113" s="382"/>
      <c r="AI113" s="416">
        <f t="shared" si="2"/>
        <v>0</v>
      </c>
      <c r="AJ113" s="416"/>
      <c r="AK113" s="417"/>
      <c r="AL113" s="417"/>
      <c r="AM113" s="100"/>
      <c r="AN113" s="242">
        <v>3.75</v>
      </c>
      <c r="AO113" s="243"/>
      <c r="AP113" s="243"/>
      <c r="AQ113" s="243"/>
      <c r="AR113" s="244"/>
      <c r="AS113" s="239">
        <v>4.8499999999999996</v>
      </c>
      <c r="AT113" s="240"/>
      <c r="AU113" s="240"/>
      <c r="AV113" s="240"/>
      <c r="AW113" s="241"/>
      <c r="AX113" s="92" t="str">
        <f t="shared" si="1"/>
        <v/>
      </c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5"/>
      <c r="DM113" s="5"/>
      <c r="DN113" s="5"/>
      <c r="DO113" s="5"/>
      <c r="DP113" s="5"/>
      <c r="DQ113" s="5"/>
      <c r="DR113" s="5"/>
      <c r="DS113" s="5"/>
      <c r="DT113" s="5"/>
      <c r="DU113" s="5"/>
      <c r="DV113" s="5"/>
      <c r="DW113" s="5"/>
      <c r="DX113" s="5"/>
      <c r="DY113" s="5"/>
      <c r="DZ113" s="5"/>
      <c r="EA113" s="5"/>
      <c r="EB113" s="5"/>
      <c r="EC113" s="5"/>
      <c r="ED113" s="5"/>
      <c r="EE113" s="5"/>
      <c r="EF113" s="5"/>
      <c r="EG113" s="5"/>
      <c r="EH113" s="5"/>
      <c r="EI113" s="5"/>
      <c r="EJ113" s="5"/>
      <c r="EK113" s="5"/>
      <c r="EL113" s="5"/>
      <c r="EM113" s="5"/>
      <c r="EN113" s="5"/>
      <c r="EO113" s="5"/>
      <c r="EP113" s="5"/>
      <c r="EQ113" s="5"/>
      <c r="ER113" s="5"/>
      <c r="ES113" s="5"/>
      <c r="ET113" s="5"/>
      <c r="EU113" s="5"/>
      <c r="EV113" s="5"/>
      <c r="EW113" s="5"/>
      <c r="EX113" s="5"/>
      <c r="EY113" s="5"/>
      <c r="EZ113" s="5"/>
      <c r="FA113" s="5"/>
      <c r="FB113" s="5"/>
      <c r="FC113" s="5"/>
      <c r="FD113" s="5"/>
      <c r="FE113" s="5"/>
      <c r="FF113" s="5"/>
      <c r="FG113" s="5"/>
      <c r="FH113" s="5"/>
      <c r="FI113" s="5"/>
      <c r="FJ113" s="5"/>
      <c r="FK113" s="5"/>
      <c r="FL113" s="5"/>
      <c r="FM113" s="5"/>
      <c r="FN113" s="5"/>
      <c r="FO113" s="5"/>
      <c r="FP113" s="5"/>
      <c r="FQ113" s="5"/>
      <c r="FR113" s="5"/>
      <c r="FS113" s="5"/>
      <c r="FT113" s="5"/>
      <c r="FU113" s="5"/>
      <c r="FV113" s="5"/>
      <c r="FW113" s="5"/>
      <c r="FX113" s="5"/>
      <c r="FY113" s="5"/>
      <c r="FZ113" s="5"/>
      <c r="GA113" s="5"/>
      <c r="GB113" s="5"/>
      <c r="GC113" s="5"/>
      <c r="GD113" s="5"/>
      <c r="GE113" s="5"/>
      <c r="GF113" s="5"/>
      <c r="GG113" s="5"/>
      <c r="GH113" s="5"/>
      <c r="GI113" s="5"/>
      <c r="GJ113" s="5"/>
      <c r="GK113" s="5"/>
      <c r="GL113" s="5"/>
      <c r="GM113" s="5"/>
      <c r="GN113" s="5"/>
      <c r="GO113" s="5"/>
      <c r="GP113" s="5"/>
      <c r="GQ113" s="5"/>
      <c r="GR113" s="5"/>
      <c r="GS113" s="5"/>
      <c r="GT113" s="5"/>
      <c r="GU113" s="5"/>
      <c r="GV113" s="5"/>
      <c r="GW113" s="5"/>
      <c r="GX113" s="5"/>
      <c r="GY113" s="5"/>
      <c r="GZ113" s="5"/>
    </row>
    <row r="114" spans="1:208" ht="11.1" customHeight="1" x14ac:dyDescent="0.25">
      <c r="G114" s="398">
        <f t="shared" si="3"/>
        <v>16</v>
      </c>
      <c r="H114" s="398"/>
      <c r="I114" s="414" t="s">
        <v>400</v>
      </c>
      <c r="J114" s="414"/>
      <c r="K114" s="414"/>
      <c r="L114" s="414"/>
      <c r="M114" s="414"/>
      <c r="N114" s="414"/>
      <c r="O114" s="414"/>
      <c r="P114" s="414"/>
      <c r="Q114" s="414"/>
      <c r="R114" s="414"/>
      <c r="S114" s="414"/>
      <c r="T114" s="414"/>
      <c r="U114" s="414"/>
      <c r="V114" s="414"/>
      <c r="W114" s="415"/>
      <c r="X114" s="416">
        <f t="shared" si="0"/>
        <v>0</v>
      </c>
      <c r="Y114" s="416"/>
      <c r="Z114" s="417"/>
      <c r="AA114" s="417"/>
      <c r="AB114" s="380"/>
      <c r="AC114" s="381"/>
      <c r="AD114" s="381"/>
      <c r="AE114" s="382"/>
      <c r="AF114" s="382"/>
      <c r="AG114" s="382"/>
      <c r="AH114" s="382"/>
      <c r="AI114" s="416">
        <f t="shared" si="2"/>
        <v>0</v>
      </c>
      <c r="AJ114" s="416"/>
      <c r="AK114" s="417"/>
      <c r="AL114" s="417"/>
      <c r="AM114" s="100"/>
      <c r="AN114" s="242">
        <v>3.63</v>
      </c>
      <c r="AO114" s="243"/>
      <c r="AP114" s="243"/>
      <c r="AQ114" s="243"/>
      <c r="AR114" s="244"/>
      <c r="AS114" s="239">
        <v>4.2699999999999996</v>
      </c>
      <c r="AT114" s="240"/>
      <c r="AU114" s="240"/>
      <c r="AV114" s="240"/>
      <c r="AW114" s="241"/>
      <c r="AX114" s="92" t="str">
        <f t="shared" si="1"/>
        <v/>
      </c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Z114" s="5"/>
      <c r="CA114" s="5"/>
      <c r="CB114" s="5"/>
      <c r="DM114" s="5"/>
      <c r="DN114" s="5"/>
      <c r="DO114" s="5"/>
      <c r="DP114" s="5"/>
      <c r="DQ114" s="5"/>
      <c r="DR114" s="5"/>
      <c r="DS114" s="5"/>
      <c r="DX114" s="5"/>
      <c r="DY114" s="5"/>
      <c r="DZ114" s="5"/>
      <c r="EA114" s="5"/>
      <c r="EB114" s="5"/>
      <c r="EC114" s="5"/>
      <c r="ED114" s="5"/>
      <c r="EE114" s="5"/>
      <c r="EF114" s="5"/>
      <c r="EG114" s="5"/>
      <c r="EH114" s="5"/>
      <c r="EI114" s="5"/>
      <c r="EJ114" s="5"/>
      <c r="EK114" s="5"/>
      <c r="EL114" s="5"/>
      <c r="EM114" s="5"/>
      <c r="EN114" s="5"/>
      <c r="EO114" s="5"/>
      <c r="EP114" s="5"/>
      <c r="EQ114" s="5"/>
      <c r="ER114" s="5"/>
      <c r="ES114" s="5"/>
      <c r="ET114" s="5"/>
      <c r="EU114" s="5"/>
      <c r="EV114" s="5"/>
      <c r="EW114" s="5"/>
      <c r="EX114" s="5"/>
      <c r="EY114" s="5"/>
      <c r="EZ114" s="5"/>
      <c r="FA114" s="5"/>
      <c r="FB114" s="5"/>
      <c r="FC114" s="5"/>
      <c r="FD114" s="5"/>
      <c r="FE114" s="5"/>
      <c r="FF114" s="5"/>
      <c r="FG114" s="5"/>
      <c r="FH114" s="5"/>
      <c r="FI114" s="5"/>
      <c r="FJ114" s="5"/>
      <c r="FK114" s="5"/>
      <c r="FL114" s="5"/>
      <c r="FM114" s="5"/>
      <c r="FN114" s="5"/>
      <c r="FO114" s="5"/>
      <c r="FP114" s="5"/>
      <c r="FQ114" s="5"/>
      <c r="FR114" s="5"/>
      <c r="FS114" s="5"/>
      <c r="FT114" s="5"/>
      <c r="FU114" s="5"/>
      <c r="FV114" s="5"/>
      <c r="FW114" s="5"/>
      <c r="FX114" s="5"/>
      <c r="FY114" s="5"/>
      <c r="FZ114" s="5"/>
      <c r="GA114" s="5"/>
      <c r="GB114" s="5"/>
      <c r="GC114" s="5"/>
      <c r="GD114" s="5"/>
      <c r="GE114" s="5"/>
      <c r="GF114" s="5"/>
      <c r="GG114" s="5"/>
      <c r="GH114" s="5"/>
      <c r="GI114" s="5"/>
      <c r="GJ114" s="5"/>
      <c r="GK114" s="5"/>
      <c r="GL114" s="5"/>
      <c r="GM114" s="5"/>
      <c r="GN114" s="5"/>
      <c r="GO114" s="5"/>
      <c r="GP114" s="5"/>
      <c r="GQ114" s="5"/>
      <c r="GR114" s="5"/>
      <c r="GS114" s="5"/>
      <c r="GT114" s="5"/>
      <c r="GU114" s="5"/>
      <c r="GV114" s="5"/>
      <c r="GW114" s="5"/>
      <c r="GX114" s="5"/>
      <c r="GY114" s="5"/>
      <c r="GZ114" s="5"/>
    </row>
    <row r="115" spans="1:208" ht="11.1" customHeight="1" x14ac:dyDescent="0.25">
      <c r="G115" s="398">
        <f t="shared" si="3"/>
        <v>17</v>
      </c>
      <c r="H115" s="398"/>
      <c r="I115" s="414" t="s">
        <v>199</v>
      </c>
      <c r="J115" s="414"/>
      <c r="K115" s="414"/>
      <c r="L115" s="414"/>
      <c r="M115" s="414"/>
      <c r="N115" s="414"/>
      <c r="O115" s="414"/>
      <c r="P115" s="414"/>
      <c r="Q115" s="414"/>
      <c r="R115" s="414"/>
      <c r="S115" s="414"/>
      <c r="T115" s="414"/>
      <c r="U115" s="414"/>
      <c r="V115" s="414"/>
      <c r="W115" s="415"/>
      <c r="X115" s="416">
        <f t="shared" si="0"/>
        <v>0</v>
      </c>
      <c r="Y115" s="416"/>
      <c r="Z115" s="417"/>
      <c r="AA115" s="417"/>
      <c r="AB115" s="380"/>
      <c r="AC115" s="381"/>
      <c r="AD115" s="381"/>
      <c r="AE115" s="382"/>
      <c r="AF115" s="382"/>
      <c r="AG115" s="382"/>
      <c r="AH115" s="382"/>
      <c r="AI115" s="416">
        <f t="shared" si="2"/>
        <v>0</v>
      </c>
      <c r="AJ115" s="416"/>
      <c r="AK115" s="417"/>
      <c r="AL115" s="417"/>
      <c r="AM115" s="100"/>
      <c r="AN115" s="242">
        <v>3.65</v>
      </c>
      <c r="AO115" s="243"/>
      <c r="AP115" s="243"/>
      <c r="AQ115" s="243"/>
      <c r="AR115" s="244"/>
      <c r="AS115" s="239">
        <v>4.3</v>
      </c>
      <c r="AT115" s="240"/>
      <c r="AU115" s="240"/>
      <c r="AV115" s="240"/>
      <c r="AW115" s="241"/>
      <c r="AX115" s="92" t="str">
        <f t="shared" si="1"/>
        <v/>
      </c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Z115" s="5"/>
      <c r="DM115" s="5"/>
      <c r="DN115" s="5"/>
      <c r="DO115" s="5"/>
      <c r="DP115" s="5"/>
      <c r="DQ115" s="5"/>
      <c r="DR115" s="5"/>
      <c r="DS115" s="5"/>
      <c r="DT115" s="5"/>
      <c r="DU115" s="5"/>
      <c r="DV115" s="5"/>
      <c r="DW115" s="5"/>
      <c r="DX115" s="5"/>
      <c r="DY115" s="5"/>
      <c r="DZ115" s="5"/>
      <c r="EA115" s="5"/>
      <c r="EB115" s="5"/>
      <c r="EC115" s="5"/>
      <c r="ED115" s="5"/>
      <c r="EE115" s="5"/>
      <c r="EF115" s="5"/>
      <c r="EG115" s="5"/>
      <c r="EH115" s="5"/>
      <c r="EI115" s="5"/>
      <c r="EJ115" s="5"/>
      <c r="EK115" s="5"/>
      <c r="EL115" s="5"/>
      <c r="EM115" s="5"/>
      <c r="EN115" s="5"/>
      <c r="EO115" s="5"/>
      <c r="EP115" s="5"/>
      <c r="EQ115" s="5"/>
      <c r="ER115" s="5"/>
      <c r="ES115" s="5"/>
      <c r="ET115" s="5"/>
      <c r="EU115" s="5"/>
      <c r="EV115" s="5"/>
      <c r="EW115" s="5"/>
      <c r="EX115" s="5"/>
      <c r="EY115" s="5"/>
      <c r="EZ115" s="5"/>
      <c r="FA115" s="5"/>
      <c r="FB115" s="5"/>
      <c r="FC115" s="5"/>
      <c r="FD115" s="5"/>
      <c r="FE115" s="5"/>
      <c r="FF115" s="5"/>
      <c r="FG115" s="5"/>
      <c r="FH115" s="5"/>
      <c r="FI115" s="5"/>
      <c r="FJ115" s="5"/>
      <c r="FK115" s="5"/>
      <c r="FL115" s="5"/>
      <c r="FM115" s="5"/>
      <c r="FN115" s="5"/>
      <c r="FO115" s="5"/>
      <c r="FP115" s="5"/>
      <c r="FQ115" s="5"/>
      <c r="FR115" s="5"/>
      <c r="FS115" s="5"/>
      <c r="FT115" s="5"/>
      <c r="FU115" s="5"/>
      <c r="FV115" s="5"/>
      <c r="FW115" s="5"/>
      <c r="FX115" s="5"/>
      <c r="FY115" s="5"/>
      <c r="FZ115" s="5"/>
      <c r="GA115" s="5"/>
      <c r="GB115" s="5"/>
      <c r="GC115" s="5"/>
      <c r="GD115" s="5"/>
      <c r="GE115" s="5"/>
      <c r="GF115" s="5"/>
      <c r="GG115" s="5"/>
      <c r="GH115" s="5"/>
      <c r="GI115" s="5"/>
      <c r="GJ115" s="5"/>
      <c r="GK115" s="5"/>
      <c r="GL115" s="5"/>
      <c r="GM115" s="5"/>
      <c r="GN115" s="5"/>
      <c r="GO115" s="5"/>
      <c r="GP115" s="5"/>
      <c r="GQ115" s="5"/>
      <c r="GR115" s="5"/>
      <c r="GS115" s="5"/>
      <c r="GT115" s="5"/>
      <c r="GU115" s="5"/>
      <c r="GV115" s="5"/>
      <c r="GW115" s="5"/>
      <c r="GX115" s="5"/>
      <c r="GY115" s="5"/>
      <c r="GZ115" s="5"/>
    </row>
    <row r="116" spans="1:208" ht="11.1" customHeight="1" x14ac:dyDescent="0.25">
      <c r="G116" s="398">
        <f t="shared" si="3"/>
        <v>18</v>
      </c>
      <c r="H116" s="398"/>
      <c r="I116" s="414" t="s">
        <v>64</v>
      </c>
      <c r="J116" s="414"/>
      <c r="K116" s="414"/>
      <c r="L116" s="414"/>
      <c r="M116" s="414"/>
      <c r="N116" s="414"/>
      <c r="O116" s="414"/>
      <c r="P116" s="414"/>
      <c r="Q116" s="414"/>
      <c r="R116" s="414"/>
      <c r="S116" s="414"/>
      <c r="T116" s="414"/>
      <c r="U116" s="414"/>
      <c r="V116" s="414"/>
      <c r="W116" s="415"/>
      <c r="X116" s="416">
        <f t="shared" si="0"/>
        <v>0</v>
      </c>
      <c r="Y116" s="416"/>
      <c r="Z116" s="417"/>
      <c r="AA116" s="417"/>
      <c r="AB116" s="380"/>
      <c r="AC116" s="381"/>
      <c r="AD116" s="381"/>
      <c r="AE116" s="382"/>
      <c r="AF116" s="382"/>
      <c r="AG116" s="382"/>
      <c r="AH116" s="382"/>
      <c r="AI116" s="416">
        <f t="shared" si="2"/>
        <v>0</v>
      </c>
      <c r="AJ116" s="416"/>
      <c r="AK116" s="417"/>
      <c r="AL116" s="417"/>
      <c r="AM116" s="100"/>
      <c r="AN116" s="242">
        <v>4.1399999999999997</v>
      </c>
      <c r="AO116" s="243"/>
      <c r="AP116" s="243"/>
      <c r="AQ116" s="243"/>
      <c r="AR116" s="244"/>
      <c r="AS116" s="239">
        <v>4.87</v>
      </c>
      <c r="AT116" s="240"/>
      <c r="AU116" s="240"/>
      <c r="AV116" s="240"/>
      <c r="AW116" s="241"/>
      <c r="AX116" s="92" t="str">
        <f t="shared" si="1"/>
        <v/>
      </c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Y116" s="5"/>
      <c r="BZ116" s="5"/>
      <c r="DM116" s="5"/>
      <c r="DN116" s="5"/>
      <c r="DO116" s="5"/>
      <c r="DP116" s="5"/>
      <c r="DQ116" s="5"/>
      <c r="DR116" s="5"/>
      <c r="DS116" s="5"/>
      <c r="DT116" s="5"/>
      <c r="DU116" s="5"/>
      <c r="DV116" s="5"/>
      <c r="DW116" s="5"/>
      <c r="DX116" s="5"/>
      <c r="DY116" s="5"/>
      <c r="DZ116" s="5"/>
      <c r="EA116" s="5"/>
      <c r="EB116" s="5"/>
      <c r="EC116" s="5"/>
      <c r="ED116" s="5"/>
      <c r="EE116" s="5"/>
      <c r="EF116" s="5"/>
      <c r="EG116" s="5"/>
      <c r="EH116" s="5"/>
      <c r="EI116" s="5"/>
      <c r="EJ116" s="5"/>
      <c r="EK116" s="5"/>
      <c r="EL116" s="5"/>
      <c r="EM116" s="5"/>
      <c r="EN116" s="5"/>
      <c r="EO116" s="5"/>
      <c r="EP116" s="5"/>
      <c r="EQ116" s="5"/>
      <c r="ER116" s="5"/>
      <c r="ES116" s="5"/>
      <c r="ET116" s="5"/>
      <c r="EU116" s="5"/>
      <c r="EV116" s="5"/>
      <c r="EW116" s="5"/>
      <c r="EX116" s="5"/>
      <c r="EY116" s="5"/>
      <c r="EZ116" s="5"/>
      <c r="FA116" s="5"/>
      <c r="FB116" s="5"/>
      <c r="FC116" s="5"/>
      <c r="FD116" s="5"/>
      <c r="FE116" s="5"/>
      <c r="FF116" s="5"/>
      <c r="FG116" s="5"/>
      <c r="FH116" s="5"/>
      <c r="FI116" s="5"/>
      <c r="FJ116" s="5"/>
      <c r="FK116" s="5"/>
      <c r="FL116" s="5"/>
      <c r="FM116" s="5"/>
      <c r="FN116" s="5"/>
      <c r="FO116" s="5"/>
      <c r="FP116" s="5"/>
      <c r="FQ116" s="5"/>
      <c r="FR116" s="5"/>
      <c r="FS116" s="5"/>
      <c r="FT116" s="5"/>
      <c r="FU116" s="5"/>
      <c r="FV116" s="5"/>
      <c r="FW116" s="5"/>
      <c r="FX116" s="5"/>
      <c r="FY116" s="5"/>
      <c r="FZ116" s="5"/>
      <c r="GA116" s="5"/>
      <c r="GB116" s="5"/>
      <c r="GC116" s="5"/>
      <c r="GD116" s="5"/>
      <c r="GE116" s="5"/>
      <c r="GF116" s="5"/>
      <c r="GG116" s="5"/>
      <c r="GH116" s="5"/>
      <c r="GI116" s="5"/>
      <c r="GJ116" s="5"/>
      <c r="GK116" s="5"/>
      <c r="GL116" s="5"/>
      <c r="GM116" s="5"/>
      <c r="GN116" s="5"/>
      <c r="GO116" s="5"/>
      <c r="GP116" s="5"/>
      <c r="GQ116" s="5"/>
      <c r="GR116" s="5"/>
      <c r="GS116" s="5"/>
      <c r="GT116" s="5"/>
      <c r="GU116" s="5"/>
      <c r="GV116" s="5"/>
      <c r="GW116" s="5"/>
      <c r="GX116" s="5"/>
      <c r="GY116" s="5"/>
      <c r="GZ116" s="5"/>
    </row>
    <row r="117" spans="1:208" ht="11.1" customHeight="1" x14ac:dyDescent="0.25">
      <c r="G117" s="398">
        <f t="shared" si="3"/>
        <v>19</v>
      </c>
      <c r="H117" s="398"/>
      <c r="I117" s="414" t="s">
        <v>258</v>
      </c>
      <c r="J117" s="414"/>
      <c r="K117" s="414"/>
      <c r="L117" s="414"/>
      <c r="M117" s="414"/>
      <c r="N117" s="414"/>
      <c r="O117" s="414"/>
      <c r="P117" s="414"/>
      <c r="Q117" s="414"/>
      <c r="R117" s="414"/>
      <c r="S117" s="414"/>
      <c r="T117" s="414"/>
      <c r="U117" s="414"/>
      <c r="V117" s="414"/>
      <c r="W117" s="415"/>
      <c r="X117" s="416">
        <f t="shared" si="0"/>
        <v>0</v>
      </c>
      <c r="Y117" s="416"/>
      <c r="Z117" s="417"/>
      <c r="AA117" s="417"/>
      <c r="AB117" s="380"/>
      <c r="AC117" s="381"/>
      <c r="AD117" s="381"/>
      <c r="AE117" s="382"/>
      <c r="AF117" s="382"/>
      <c r="AG117" s="382"/>
      <c r="AH117" s="382"/>
      <c r="AI117" s="416">
        <f t="shared" si="2"/>
        <v>0</v>
      </c>
      <c r="AJ117" s="416"/>
      <c r="AK117" s="417"/>
      <c r="AL117" s="417"/>
      <c r="AM117" s="100"/>
      <c r="AN117" s="242">
        <v>0.24</v>
      </c>
      <c r="AO117" s="243"/>
      <c r="AP117" s="243"/>
      <c r="AQ117" s="243"/>
      <c r="AR117" s="244"/>
      <c r="AS117" s="239">
        <v>2.29</v>
      </c>
      <c r="AT117" s="240"/>
      <c r="AU117" s="240"/>
      <c r="AV117" s="240"/>
      <c r="AW117" s="241"/>
      <c r="AX117" s="92" t="str">
        <f t="shared" si="1"/>
        <v/>
      </c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DM117" s="5"/>
      <c r="DN117" s="5"/>
      <c r="DO117" s="5"/>
      <c r="DP117" s="5"/>
      <c r="DQ117" s="5"/>
      <c r="DR117" s="5"/>
      <c r="DS117" s="5"/>
      <c r="DT117" s="5"/>
      <c r="DU117" s="5"/>
      <c r="DV117" s="5"/>
      <c r="DW117" s="5"/>
      <c r="DX117" s="5"/>
      <c r="DY117" s="5"/>
      <c r="DZ117" s="5"/>
      <c r="EA117" s="5"/>
      <c r="EB117" s="5"/>
      <c r="EC117" s="5"/>
      <c r="ED117" s="5"/>
      <c r="EE117" s="5"/>
      <c r="EF117" s="5"/>
      <c r="EG117" s="5"/>
      <c r="EH117" s="5"/>
      <c r="EI117" s="5"/>
      <c r="EJ117" s="5"/>
      <c r="EK117" s="5"/>
      <c r="EL117" s="5"/>
      <c r="EM117" s="5"/>
      <c r="EN117" s="5"/>
      <c r="EO117" s="5"/>
      <c r="EP117" s="5"/>
      <c r="EQ117" s="5"/>
      <c r="ER117" s="5"/>
      <c r="ES117" s="5"/>
      <c r="ET117" s="5"/>
      <c r="EU117" s="5"/>
      <c r="EV117" s="5"/>
      <c r="EW117" s="5"/>
      <c r="EX117" s="5"/>
      <c r="EY117" s="5"/>
      <c r="EZ117" s="5"/>
      <c r="FA117" s="5"/>
      <c r="FB117" s="5"/>
      <c r="FC117" s="5"/>
      <c r="FD117" s="5"/>
      <c r="FE117" s="5"/>
      <c r="FF117" s="5"/>
      <c r="FG117" s="5"/>
      <c r="FH117" s="5"/>
      <c r="FI117" s="5"/>
      <c r="FJ117" s="5"/>
      <c r="FK117" s="5"/>
      <c r="FL117" s="5"/>
      <c r="FM117" s="5"/>
      <c r="FN117" s="5"/>
      <c r="FO117" s="5"/>
      <c r="FP117" s="5"/>
      <c r="FQ117" s="5"/>
      <c r="FR117" s="5"/>
      <c r="FS117" s="5"/>
      <c r="FT117" s="5"/>
      <c r="FU117" s="5"/>
      <c r="FV117" s="5"/>
      <c r="FW117" s="5"/>
      <c r="FX117" s="5"/>
      <c r="FY117" s="5"/>
      <c r="FZ117" s="5"/>
      <c r="GA117" s="5"/>
      <c r="GB117" s="5"/>
      <c r="GC117" s="5"/>
      <c r="GD117" s="5"/>
      <c r="GE117" s="5"/>
      <c r="GF117" s="5"/>
      <c r="GG117" s="5"/>
      <c r="GH117" s="5"/>
      <c r="GI117" s="5"/>
      <c r="GJ117" s="5"/>
      <c r="GK117" s="5"/>
      <c r="GL117" s="5"/>
      <c r="GM117" s="5"/>
      <c r="GN117" s="5"/>
      <c r="GO117" s="5"/>
      <c r="GP117" s="5"/>
      <c r="GQ117" s="5"/>
      <c r="GR117" s="5"/>
      <c r="GS117" s="5"/>
      <c r="GT117" s="5"/>
      <c r="GU117" s="5"/>
      <c r="GV117" s="5"/>
      <c r="GW117" s="5"/>
      <c r="GX117" s="5"/>
      <c r="GY117" s="5"/>
      <c r="GZ117" s="5"/>
    </row>
    <row r="118" spans="1:208" ht="11.1" customHeight="1" x14ac:dyDescent="0.25">
      <c r="G118" s="398">
        <f t="shared" si="3"/>
        <v>20</v>
      </c>
      <c r="H118" s="398"/>
      <c r="I118" s="414" t="s">
        <v>260</v>
      </c>
      <c r="J118" s="414"/>
      <c r="K118" s="414"/>
      <c r="L118" s="414"/>
      <c r="M118" s="414"/>
      <c r="N118" s="414"/>
      <c r="O118" s="414"/>
      <c r="P118" s="414"/>
      <c r="Q118" s="414"/>
      <c r="R118" s="414"/>
      <c r="S118" s="414"/>
      <c r="T118" s="414"/>
      <c r="U118" s="414"/>
      <c r="V118" s="414"/>
      <c r="W118" s="415"/>
      <c r="X118" s="409">
        <f t="shared" si="0"/>
        <v>0</v>
      </c>
      <c r="Y118" s="409"/>
      <c r="Z118" s="410"/>
      <c r="AA118" s="410"/>
      <c r="AB118" s="411">
        <f>Z138</f>
        <v>0</v>
      </c>
      <c r="AC118" s="412"/>
      <c r="AD118" s="412"/>
      <c r="AE118" s="412"/>
      <c r="AF118" s="412"/>
      <c r="AG118" s="412"/>
      <c r="AH118" s="412"/>
      <c r="AI118" s="409">
        <f>X118+AI117</f>
        <v>0</v>
      </c>
      <c r="AJ118" s="409"/>
      <c r="AK118" s="410"/>
      <c r="AL118" s="410"/>
      <c r="AM118" s="100"/>
      <c r="AN118" s="392">
        <v>0</v>
      </c>
      <c r="AO118" s="393"/>
      <c r="AP118" s="393"/>
      <c r="AQ118" s="393"/>
      <c r="AR118" s="394"/>
      <c r="AS118" s="389">
        <v>10</v>
      </c>
      <c r="AT118" s="390"/>
      <c r="AU118" s="390"/>
      <c r="AV118" s="390"/>
      <c r="AW118" s="391"/>
      <c r="AX118" s="92" t="str">
        <f t="shared" si="1"/>
        <v/>
      </c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DM118" s="5"/>
      <c r="DN118" s="5"/>
      <c r="DO118" s="5"/>
      <c r="DP118" s="5"/>
      <c r="DQ118" s="5"/>
      <c r="DR118" s="5"/>
      <c r="DS118" s="5"/>
      <c r="DT118" s="5"/>
      <c r="DU118" s="5"/>
      <c r="DV118" s="5"/>
      <c r="DW118" s="5"/>
      <c r="DX118" s="5"/>
      <c r="DY118" s="5"/>
      <c r="DZ118" s="5"/>
      <c r="EA118" s="5"/>
      <c r="EB118" s="5"/>
      <c r="EC118" s="5"/>
      <c r="ED118" s="5"/>
      <c r="EE118" s="5"/>
      <c r="EF118" s="5"/>
      <c r="EG118" s="5"/>
      <c r="EH118" s="5"/>
      <c r="EI118" s="5"/>
      <c r="EJ118" s="5"/>
      <c r="EK118" s="5"/>
      <c r="EL118" s="5"/>
      <c r="EM118" s="5"/>
      <c r="EN118" s="5"/>
      <c r="EO118" s="5"/>
      <c r="EP118" s="5"/>
      <c r="EQ118" s="5"/>
      <c r="ER118" s="5"/>
      <c r="ES118" s="5"/>
      <c r="ET118" s="5"/>
      <c r="EU118" s="5"/>
      <c r="EV118" s="5"/>
      <c r="EW118" s="5"/>
      <c r="EX118" s="5"/>
      <c r="EY118" s="5"/>
      <c r="EZ118" s="5"/>
      <c r="FA118" s="5"/>
      <c r="FB118" s="5"/>
      <c r="FC118" s="5"/>
      <c r="FD118" s="5"/>
      <c r="FE118" s="5"/>
      <c r="FF118" s="5"/>
      <c r="FG118" s="5"/>
      <c r="FH118" s="5"/>
      <c r="FI118" s="5"/>
      <c r="FJ118" s="5"/>
      <c r="FK118" s="5"/>
      <c r="FL118" s="5"/>
      <c r="FM118" s="5"/>
      <c r="FN118" s="5"/>
      <c r="FO118" s="5"/>
      <c r="FP118" s="5"/>
      <c r="FQ118" s="5"/>
      <c r="FR118" s="5"/>
      <c r="FS118" s="5"/>
      <c r="FT118" s="5"/>
      <c r="FU118" s="5"/>
      <c r="FV118" s="5"/>
      <c r="FW118" s="5"/>
      <c r="FX118" s="5"/>
      <c r="FY118" s="5"/>
      <c r="FZ118" s="5"/>
      <c r="GA118" s="5"/>
      <c r="GB118" s="5"/>
      <c r="GC118" s="5"/>
      <c r="GD118" s="5"/>
      <c r="GE118" s="5"/>
      <c r="GF118" s="5"/>
      <c r="GG118" s="5"/>
      <c r="GH118" s="5"/>
      <c r="GI118" s="5"/>
      <c r="GJ118" s="5"/>
      <c r="GK118" s="5"/>
      <c r="GL118" s="5"/>
      <c r="GM118" s="5"/>
      <c r="GN118" s="5"/>
      <c r="GO118" s="5"/>
      <c r="GP118" s="5"/>
      <c r="GQ118" s="5"/>
      <c r="GR118" s="5"/>
      <c r="GS118" s="5"/>
      <c r="GT118" s="5"/>
      <c r="GU118" s="5"/>
      <c r="GV118" s="5"/>
      <c r="GW118" s="5"/>
      <c r="GX118" s="5"/>
      <c r="GY118" s="5"/>
      <c r="GZ118" s="5"/>
    </row>
    <row r="119" spans="1:208" ht="11.1" customHeight="1" x14ac:dyDescent="0.25">
      <c r="A119" s="112"/>
      <c r="B119" s="112"/>
      <c r="C119" s="112"/>
      <c r="D119" s="112"/>
      <c r="G119" s="491" t="s">
        <v>200</v>
      </c>
      <c r="H119" s="492"/>
      <c r="I119" s="492"/>
      <c r="J119" s="492"/>
      <c r="K119" s="492"/>
      <c r="L119" s="492"/>
      <c r="M119" s="492"/>
      <c r="N119" s="492"/>
      <c r="O119" s="492"/>
      <c r="P119" s="492"/>
      <c r="Q119" s="492"/>
      <c r="R119" s="493"/>
      <c r="S119" s="374" t="s">
        <v>337</v>
      </c>
      <c r="T119" s="375"/>
      <c r="U119" s="375"/>
      <c r="V119" s="375"/>
      <c r="W119" s="375"/>
      <c r="X119" s="375"/>
      <c r="Y119" s="375"/>
      <c r="Z119" s="375"/>
      <c r="AA119" s="376"/>
      <c r="AB119" s="403">
        <f>SUM(AB99:AH118)</f>
        <v>0</v>
      </c>
      <c r="AC119" s="403"/>
      <c r="AD119" s="403"/>
      <c r="AE119" s="404"/>
      <c r="AF119" s="404"/>
      <c r="AG119" s="404"/>
      <c r="AH119" s="404"/>
      <c r="AI119" s="371" t="s">
        <v>293</v>
      </c>
      <c r="AJ119" s="372"/>
      <c r="AK119" s="372"/>
      <c r="AL119" s="372"/>
      <c r="AM119" s="373"/>
      <c r="AN119" s="218"/>
      <c r="AO119" s="219"/>
      <c r="AP119" s="219"/>
      <c r="AQ119" s="219"/>
      <c r="AR119" s="219"/>
      <c r="AS119" s="219"/>
      <c r="AT119" s="219"/>
      <c r="AU119" s="219"/>
      <c r="AV119" s="219"/>
      <c r="AW119" s="220"/>
      <c r="AX119" s="97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DM119" s="5"/>
      <c r="DN119" s="5"/>
      <c r="DO119" s="5"/>
      <c r="DP119" s="5"/>
      <c r="DQ119" s="5"/>
      <c r="DR119" s="5"/>
      <c r="DS119" s="5"/>
      <c r="DT119" s="5"/>
      <c r="DU119" s="5"/>
      <c r="DV119" s="5"/>
      <c r="DW119" s="5"/>
      <c r="DX119" s="5"/>
      <c r="DY119" s="5"/>
      <c r="DZ119" s="5"/>
      <c r="EA119" s="5"/>
      <c r="EB119" s="5"/>
      <c r="EC119" s="5"/>
      <c r="ED119" s="5"/>
      <c r="EE119" s="5"/>
      <c r="EF119" s="5"/>
      <c r="EG119" s="5"/>
      <c r="EH119" s="5"/>
      <c r="EI119" s="5"/>
      <c r="EJ119" s="5"/>
      <c r="EK119" s="5"/>
      <c r="EL119" s="5"/>
      <c r="EM119" s="5"/>
      <c r="EN119" s="5"/>
      <c r="EO119" s="5"/>
      <c r="EP119" s="5"/>
      <c r="EQ119" s="5"/>
      <c r="ER119" s="5"/>
      <c r="ES119" s="5"/>
      <c r="ET119" s="5"/>
      <c r="EU119" s="5"/>
      <c r="EV119" s="5"/>
      <c r="EW119" s="5"/>
      <c r="EX119" s="5"/>
      <c r="EY119" s="5"/>
      <c r="EZ119" s="5"/>
      <c r="FA119" s="5"/>
      <c r="FB119" s="5"/>
      <c r="FC119" s="5"/>
      <c r="FD119" s="5"/>
      <c r="FE119" s="5"/>
      <c r="FF119" s="5"/>
      <c r="FG119" s="5"/>
      <c r="FH119" s="5"/>
      <c r="FI119" s="5"/>
      <c r="FJ119" s="5"/>
      <c r="FK119" s="5"/>
      <c r="FL119" s="5"/>
      <c r="FM119" s="5"/>
      <c r="FN119" s="5"/>
      <c r="FO119" s="5"/>
      <c r="FP119" s="5"/>
      <c r="FQ119" s="5"/>
      <c r="FR119" s="5"/>
      <c r="FS119" s="5"/>
      <c r="FT119" s="5"/>
      <c r="FU119" s="5"/>
      <c r="FV119" s="5"/>
      <c r="FW119" s="5"/>
      <c r="FX119" s="5"/>
      <c r="FY119" s="5"/>
      <c r="FZ119" s="5"/>
      <c r="GA119" s="5"/>
      <c r="GB119" s="5"/>
      <c r="GC119" s="5"/>
      <c r="GD119" s="5"/>
      <c r="GE119" s="5"/>
      <c r="GF119" s="5"/>
      <c r="GG119" s="5"/>
      <c r="GH119" s="5"/>
      <c r="GI119" s="5"/>
      <c r="GJ119" s="5"/>
      <c r="GK119" s="5"/>
      <c r="GL119" s="5"/>
      <c r="GM119" s="5"/>
      <c r="GN119" s="5"/>
      <c r="GO119" s="5"/>
      <c r="GP119" s="5"/>
      <c r="GQ119" s="5"/>
      <c r="GR119" s="5"/>
      <c r="GS119" s="5"/>
      <c r="GT119" s="5"/>
      <c r="GU119" s="5"/>
      <c r="GV119" s="5"/>
      <c r="GW119" s="5"/>
      <c r="GX119" s="5"/>
      <c r="GY119" s="5"/>
      <c r="GZ119" s="5"/>
    </row>
    <row r="120" spans="1:208" ht="11.1" customHeight="1" x14ac:dyDescent="0.25">
      <c r="G120" s="494"/>
      <c r="H120" s="495"/>
      <c r="I120" s="495"/>
      <c r="J120" s="495"/>
      <c r="K120" s="495"/>
      <c r="L120" s="495"/>
      <c r="M120" s="495"/>
      <c r="N120" s="495"/>
      <c r="O120" s="495"/>
      <c r="P120" s="495"/>
      <c r="Q120" s="495"/>
      <c r="R120" s="496"/>
      <c r="S120" s="488" t="s">
        <v>261</v>
      </c>
      <c r="T120" s="488"/>
      <c r="U120" s="488"/>
      <c r="V120" s="488"/>
      <c r="W120" s="488"/>
      <c r="X120" s="489"/>
      <c r="Y120" s="489"/>
      <c r="Z120" s="490"/>
      <c r="AA120" s="490"/>
      <c r="AB120" s="501">
        <f>X120*AB119%</f>
        <v>0</v>
      </c>
      <c r="AC120" s="501"/>
      <c r="AD120" s="501"/>
      <c r="AE120" s="502"/>
      <c r="AF120" s="502"/>
      <c r="AG120" s="502"/>
      <c r="AH120" s="502"/>
      <c r="AI120" s="97"/>
      <c r="AJ120" s="97"/>
      <c r="AK120" s="97"/>
      <c r="AL120" s="97"/>
      <c r="AM120" s="97"/>
      <c r="AN120" s="272">
        <f>IF(AN119="Construtora",18,(IF(AN119="Profissional Autônomo",6,0)))</f>
        <v>0</v>
      </c>
      <c r="AO120" s="273"/>
      <c r="AP120" s="273"/>
      <c r="AQ120" s="273"/>
      <c r="AR120" s="273"/>
      <c r="AS120" s="273"/>
      <c r="AT120" s="273"/>
      <c r="AU120" s="273"/>
      <c r="AV120" s="273"/>
      <c r="AW120" s="274"/>
      <c r="AX120" s="92" t="str">
        <f>IF(X120="","",IF(X120&gt;AN120,"Excede máximo - justifique","OK"))</f>
        <v/>
      </c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DM120" s="5"/>
      <c r="DN120" s="5"/>
      <c r="DO120" s="5"/>
      <c r="DP120" s="5"/>
      <c r="DQ120" s="5"/>
      <c r="DR120" s="5"/>
      <c r="DS120" s="5"/>
      <c r="DT120" s="5"/>
      <c r="DU120" s="5"/>
      <c r="DV120" s="5"/>
      <c r="DW120" s="5"/>
      <c r="DX120" s="5"/>
      <c r="DY120" s="5"/>
      <c r="DZ120" s="5"/>
      <c r="EA120" s="5"/>
      <c r="EB120" s="5"/>
      <c r="EC120" s="5"/>
      <c r="ED120" s="5"/>
      <c r="EE120" s="5"/>
      <c r="EF120" s="5"/>
      <c r="EG120" s="5"/>
      <c r="EH120" s="5"/>
      <c r="EI120" s="5"/>
      <c r="EJ120" s="5"/>
      <c r="EK120" s="5"/>
      <c r="EL120" s="5"/>
      <c r="EM120" s="5"/>
      <c r="EN120" s="5"/>
      <c r="EO120" s="5"/>
      <c r="EP120" s="5"/>
      <c r="EQ120" s="5"/>
      <c r="ER120" s="5"/>
      <c r="ES120" s="5"/>
      <c r="ET120" s="5"/>
      <c r="EU120" s="5"/>
      <c r="EV120" s="5"/>
      <c r="EW120" s="5"/>
      <c r="EX120" s="5"/>
      <c r="EY120" s="5"/>
      <c r="EZ120" s="5"/>
      <c r="FA120" s="5"/>
      <c r="FB120" s="5"/>
      <c r="FC120" s="5"/>
      <c r="FD120" s="5"/>
      <c r="FE120" s="5"/>
      <c r="FF120" s="5"/>
      <c r="FG120" s="5"/>
      <c r="FH120" s="5"/>
      <c r="FI120" s="5"/>
      <c r="FJ120" s="5"/>
      <c r="FK120" s="5"/>
      <c r="FL120" s="5"/>
      <c r="FM120" s="5"/>
      <c r="FN120" s="5"/>
      <c r="FO120" s="5"/>
      <c r="FP120" s="5"/>
      <c r="FQ120" s="5"/>
      <c r="FR120" s="5"/>
      <c r="FS120" s="5"/>
      <c r="FT120" s="5"/>
      <c r="FU120" s="5"/>
      <c r="FV120" s="5"/>
      <c r="FW120" s="5"/>
      <c r="FX120" s="5"/>
      <c r="FY120" s="5"/>
      <c r="FZ120" s="5"/>
      <c r="GA120" s="5"/>
      <c r="GB120" s="5"/>
      <c r="GC120" s="5"/>
      <c r="GD120" s="5"/>
      <c r="GE120" s="5"/>
      <c r="GF120" s="5"/>
      <c r="GG120" s="5"/>
      <c r="GH120" s="5"/>
      <c r="GI120" s="5"/>
      <c r="GJ120" s="5"/>
      <c r="GK120" s="5"/>
      <c r="GL120" s="5"/>
      <c r="GM120" s="5"/>
      <c r="GN120" s="5"/>
      <c r="GO120" s="5"/>
      <c r="GP120" s="5"/>
      <c r="GQ120" s="5"/>
      <c r="GR120" s="5"/>
      <c r="GS120" s="5"/>
      <c r="GT120" s="5"/>
      <c r="GU120" s="5"/>
      <c r="GV120" s="5"/>
      <c r="GW120" s="5"/>
      <c r="GX120" s="5"/>
      <c r="GY120" s="5"/>
      <c r="GZ120" s="5"/>
    </row>
    <row r="121" spans="1:208" ht="11.1" customHeight="1" x14ac:dyDescent="0.25">
      <c r="G121" s="497"/>
      <c r="H121" s="498"/>
      <c r="I121" s="498"/>
      <c r="J121" s="498"/>
      <c r="K121" s="498"/>
      <c r="L121" s="498"/>
      <c r="M121" s="498"/>
      <c r="N121" s="498"/>
      <c r="O121" s="498"/>
      <c r="P121" s="498"/>
      <c r="Q121" s="498"/>
      <c r="R121" s="499"/>
      <c r="S121" s="488" t="s">
        <v>338</v>
      </c>
      <c r="T121" s="488"/>
      <c r="U121" s="488"/>
      <c r="V121" s="488"/>
      <c r="W121" s="488"/>
      <c r="X121" s="488"/>
      <c r="Y121" s="488"/>
      <c r="Z121" s="488"/>
      <c r="AA121" s="488"/>
      <c r="AB121" s="501">
        <f>AB120+AB119</f>
        <v>0</v>
      </c>
      <c r="AC121" s="501"/>
      <c r="AD121" s="501"/>
      <c r="AE121" s="502"/>
      <c r="AF121" s="502"/>
      <c r="AG121" s="502"/>
      <c r="AH121" s="502"/>
      <c r="AI121" s="97"/>
      <c r="AJ121" s="97"/>
      <c r="AK121" s="97"/>
      <c r="AL121" s="97"/>
      <c r="AM121" s="87"/>
      <c r="AN121" s="87"/>
      <c r="AO121" s="87"/>
      <c r="AP121" s="87"/>
      <c r="AQ121" s="87"/>
      <c r="AR121" s="87"/>
      <c r="AS121" s="87"/>
      <c r="AT121" s="87"/>
      <c r="AU121" s="87"/>
      <c r="AV121" s="87"/>
      <c r="AW121" s="87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DM121" s="5"/>
      <c r="DN121" s="5"/>
      <c r="DO121" s="5"/>
      <c r="DP121" s="5"/>
      <c r="DQ121" s="5"/>
      <c r="DR121" s="5"/>
      <c r="DS121" s="5"/>
      <c r="DT121" s="5"/>
      <c r="DU121" s="5"/>
      <c r="DV121" s="5"/>
      <c r="DW121" s="5"/>
      <c r="DX121" s="5"/>
      <c r="DY121" s="5"/>
      <c r="DZ121" s="5"/>
      <c r="EA121" s="5"/>
      <c r="EB121" s="5"/>
      <c r="EC121" s="5"/>
      <c r="ED121" s="5"/>
      <c r="EE121" s="5"/>
      <c r="EF121" s="5"/>
      <c r="EG121" s="5"/>
      <c r="EH121" s="5"/>
      <c r="EI121" s="5"/>
      <c r="EJ121" s="5"/>
      <c r="EK121" s="5"/>
      <c r="EL121" s="5"/>
      <c r="EM121" s="5"/>
      <c r="EN121" s="5"/>
      <c r="EO121" s="5"/>
      <c r="EP121" s="5"/>
      <c r="EQ121" s="5"/>
      <c r="ER121" s="5"/>
      <c r="ES121" s="5"/>
      <c r="ET121" s="5"/>
      <c r="EU121" s="5"/>
      <c r="EV121" s="5"/>
      <c r="EW121" s="5"/>
      <c r="EX121" s="5"/>
      <c r="EY121" s="5"/>
      <c r="EZ121" s="5"/>
      <c r="FA121" s="5"/>
      <c r="FB121" s="5"/>
      <c r="FC121" s="5"/>
      <c r="FD121" s="5"/>
      <c r="FE121" s="5"/>
      <c r="FF121" s="5"/>
      <c r="FG121" s="5"/>
      <c r="FH121" s="5"/>
      <c r="FI121" s="5"/>
      <c r="FJ121" s="5"/>
      <c r="FK121" s="5"/>
      <c r="FL121" s="5"/>
      <c r="FM121" s="5"/>
      <c r="FN121" s="5"/>
      <c r="FO121" s="5"/>
      <c r="FP121" s="5"/>
      <c r="FQ121" s="5"/>
      <c r="FR121" s="5"/>
      <c r="FS121" s="5"/>
      <c r="FT121" s="5"/>
      <c r="FU121" s="5"/>
      <c r="FV121" s="5"/>
      <c r="FW121" s="5"/>
      <c r="FX121" s="5"/>
      <c r="FY121" s="5"/>
      <c r="FZ121" s="5"/>
      <c r="GA121" s="5"/>
      <c r="GB121" s="5"/>
      <c r="GC121" s="5"/>
      <c r="GD121" s="5"/>
      <c r="GE121" s="5"/>
      <c r="GF121" s="5"/>
      <c r="GG121" s="5"/>
      <c r="GH121" s="5"/>
      <c r="GI121" s="5"/>
      <c r="GJ121" s="5"/>
      <c r="GK121" s="5"/>
      <c r="GL121" s="5"/>
      <c r="GM121" s="5"/>
      <c r="GN121" s="5"/>
      <c r="GO121" s="5"/>
      <c r="GP121" s="5"/>
      <c r="GQ121" s="5"/>
      <c r="GR121" s="5"/>
      <c r="GS121" s="5"/>
      <c r="GT121" s="5"/>
      <c r="GU121" s="5"/>
      <c r="GV121" s="5"/>
      <c r="GW121" s="5"/>
      <c r="GX121" s="5"/>
      <c r="GY121" s="5"/>
      <c r="GZ121" s="5"/>
    </row>
    <row r="122" spans="1:208" ht="3.9" customHeight="1" x14ac:dyDescent="0.25">
      <c r="E122" s="9" t="s">
        <v>9</v>
      </c>
      <c r="F122" s="54"/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  <c r="AL122" s="11"/>
      <c r="AM122" s="11"/>
      <c r="AN122" s="11"/>
      <c r="AO122" s="11"/>
      <c r="AP122" s="11"/>
      <c r="AQ122" s="11"/>
      <c r="AR122" s="11"/>
      <c r="AS122" s="11"/>
      <c r="AT122" s="11"/>
      <c r="AU122" s="11"/>
      <c r="AV122" s="11"/>
      <c r="AW122" s="11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DM122" s="5"/>
      <c r="DN122" s="5"/>
      <c r="DO122" s="5"/>
      <c r="DP122" s="5"/>
      <c r="DQ122" s="5"/>
      <c r="DR122" s="5"/>
      <c r="DS122" s="5"/>
      <c r="DT122" s="5"/>
      <c r="DU122" s="5"/>
      <c r="DV122" s="5"/>
      <c r="DW122" s="5"/>
      <c r="DX122" s="5"/>
      <c r="DY122" s="5"/>
      <c r="DZ122" s="5"/>
      <c r="EA122" s="5"/>
      <c r="EB122" s="5"/>
      <c r="EC122" s="5"/>
      <c r="ED122" s="5"/>
      <c r="EE122" s="5"/>
      <c r="EF122" s="5"/>
      <c r="EG122" s="5"/>
      <c r="EH122" s="5"/>
      <c r="EI122" s="5"/>
      <c r="EJ122" s="5"/>
      <c r="EK122" s="5"/>
      <c r="EL122" s="5"/>
      <c r="EM122" s="5"/>
      <c r="EN122" s="5"/>
      <c r="EO122" s="5"/>
      <c r="EP122" s="5"/>
      <c r="EQ122" s="5"/>
      <c r="ER122" s="5"/>
      <c r="ES122" s="5"/>
      <c r="ET122" s="5"/>
      <c r="EU122" s="5"/>
      <c r="EV122" s="5"/>
      <c r="EW122" s="5"/>
      <c r="EX122" s="5"/>
      <c r="EY122" s="5"/>
      <c r="EZ122" s="5"/>
      <c r="FA122" s="5"/>
      <c r="FB122" s="5"/>
      <c r="FC122" s="5"/>
      <c r="FD122" s="5"/>
      <c r="FE122" s="5"/>
      <c r="FF122" s="5"/>
      <c r="FG122" s="5"/>
      <c r="FH122" s="5"/>
      <c r="FI122" s="5"/>
      <c r="FJ122" s="5"/>
      <c r="FK122" s="5"/>
      <c r="FL122" s="5"/>
      <c r="FM122" s="5"/>
      <c r="FN122" s="5"/>
      <c r="FO122" s="5"/>
      <c r="FP122" s="5"/>
      <c r="FQ122" s="5"/>
      <c r="FR122" s="5"/>
      <c r="FS122" s="5"/>
      <c r="FT122" s="5"/>
      <c r="FU122" s="5"/>
      <c r="FV122" s="5"/>
      <c r="FW122" s="5"/>
      <c r="FX122" s="5"/>
      <c r="FY122" s="5"/>
      <c r="FZ122" s="5"/>
      <c r="GA122" s="5"/>
      <c r="GB122" s="5"/>
      <c r="GC122" s="5"/>
      <c r="GD122" s="5"/>
      <c r="GE122" s="5"/>
      <c r="GF122" s="5"/>
      <c r="GG122" s="5"/>
      <c r="GH122" s="5"/>
      <c r="GI122" s="5"/>
      <c r="GJ122" s="5"/>
      <c r="GK122" s="5"/>
      <c r="GL122" s="5"/>
      <c r="GM122" s="5"/>
      <c r="GN122" s="5"/>
      <c r="GO122" s="5"/>
      <c r="GP122" s="5"/>
      <c r="GQ122" s="5"/>
      <c r="GR122" s="5"/>
      <c r="GS122" s="5"/>
      <c r="GT122" s="5"/>
      <c r="GU122" s="5"/>
      <c r="GV122" s="5"/>
      <c r="GW122" s="5"/>
      <c r="GX122" s="5"/>
      <c r="GY122" s="5"/>
      <c r="GZ122" s="5"/>
    </row>
    <row r="123" spans="1:208" ht="11.1" customHeight="1" x14ac:dyDescent="0.25">
      <c r="G123" s="288" t="s">
        <v>36</v>
      </c>
      <c r="H123" s="289"/>
      <c r="I123" s="289"/>
      <c r="J123" s="289"/>
      <c r="K123" s="289"/>
      <c r="L123" s="289"/>
      <c r="M123" s="289"/>
      <c r="N123" s="289"/>
      <c r="O123" s="289"/>
      <c r="P123" s="289"/>
      <c r="Q123" s="289"/>
      <c r="R123" s="289"/>
      <c r="S123" s="289"/>
      <c r="T123" s="289"/>
      <c r="U123" s="289"/>
      <c r="V123" s="289"/>
      <c r="W123" s="289"/>
      <c r="X123" s="289"/>
      <c r="Y123" s="289"/>
      <c r="Z123" s="289"/>
      <c r="AA123" s="289"/>
      <c r="AB123" s="289"/>
      <c r="AC123" s="289"/>
      <c r="AD123" s="289"/>
      <c r="AE123" s="289"/>
      <c r="AF123" s="289"/>
      <c r="AG123" s="289"/>
      <c r="AH123" s="289"/>
      <c r="AI123" s="289"/>
      <c r="AJ123" s="289"/>
      <c r="AK123" s="289"/>
      <c r="AL123" s="289"/>
      <c r="AM123" s="289"/>
      <c r="AN123" s="289"/>
      <c r="AO123" s="289"/>
      <c r="AP123" s="289"/>
      <c r="AQ123" s="289"/>
      <c r="AR123" s="289"/>
      <c r="AS123" s="289"/>
      <c r="AT123" s="289"/>
      <c r="AU123" s="289"/>
      <c r="AV123" s="289"/>
      <c r="AW123" s="290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DM123" s="5"/>
      <c r="DN123" s="5"/>
      <c r="DO123" s="5"/>
      <c r="DP123" s="5"/>
      <c r="DQ123" s="5"/>
      <c r="DR123" s="5"/>
      <c r="DS123" s="5"/>
      <c r="DT123" s="5"/>
      <c r="DU123" s="5"/>
      <c r="DV123" s="5"/>
      <c r="DW123" s="5"/>
      <c r="DX123" s="5"/>
      <c r="DY123" s="5"/>
      <c r="DZ123" s="5"/>
      <c r="EA123" s="5"/>
      <c r="EB123" s="5"/>
      <c r="EC123" s="5"/>
      <c r="ED123" s="5"/>
      <c r="EE123" s="5"/>
      <c r="EF123" s="5"/>
      <c r="EG123" s="5"/>
      <c r="EH123" s="5"/>
      <c r="EI123" s="5"/>
      <c r="EJ123" s="5"/>
      <c r="EK123" s="5"/>
      <c r="EL123" s="5"/>
      <c r="EM123" s="5"/>
      <c r="EN123" s="5"/>
      <c r="EO123" s="5"/>
      <c r="EP123" s="5"/>
      <c r="EQ123" s="5"/>
      <c r="ER123" s="5"/>
      <c r="ES123" s="5"/>
      <c r="ET123" s="5"/>
      <c r="EU123" s="5"/>
      <c r="EV123" s="5"/>
      <c r="EW123" s="5"/>
      <c r="EX123" s="5"/>
      <c r="EY123" s="5"/>
      <c r="EZ123" s="5"/>
      <c r="FA123" s="5"/>
      <c r="FB123" s="5"/>
      <c r="FC123" s="5"/>
      <c r="FD123" s="5"/>
      <c r="FE123" s="5"/>
      <c r="FF123" s="5"/>
      <c r="FG123" s="5"/>
      <c r="FH123" s="5"/>
      <c r="FI123" s="5"/>
      <c r="FJ123" s="5"/>
      <c r="FK123" s="5"/>
      <c r="FL123" s="5"/>
      <c r="FM123" s="5"/>
      <c r="FN123" s="5"/>
      <c r="FO123" s="5"/>
      <c r="FP123" s="5"/>
      <c r="FQ123" s="5"/>
      <c r="FR123" s="5"/>
      <c r="FS123" s="5"/>
      <c r="FT123" s="5"/>
      <c r="FU123" s="5"/>
      <c r="FV123" s="5"/>
      <c r="FW123" s="5"/>
      <c r="FX123" s="5"/>
      <c r="FY123" s="5"/>
      <c r="FZ123" s="5"/>
      <c r="GA123" s="5"/>
      <c r="GB123" s="5"/>
      <c r="GC123" s="5"/>
      <c r="GD123" s="5"/>
      <c r="GE123" s="5"/>
      <c r="GF123" s="5"/>
      <c r="GG123" s="5"/>
      <c r="GH123" s="5"/>
      <c r="GI123" s="5"/>
      <c r="GJ123" s="5"/>
      <c r="GK123" s="5"/>
      <c r="GL123" s="5"/>
      <c r="GM123" s="5"/>
      <c r="GN123" s="5"/>
      <c r="GO123" s="5"/>
      <c r="GP123" s="5"/>
      <c r="GQ123" s="5"/>
      <c r="GR123" s="5"/>
      <c r="GS123" s="5"/>
      <c r="GT123" s="5"/>
      <c r="GU123" s="5"/>
      <c r="GV123" s="5"/>
      <c r="GW123" s="5"/>
      <c r="GX123" s="5"/>
      <c r="GY123" s="5"/>
      <c r="GZ123" s="5"/>
    </row>
    <row r="124" spans="1:208" ht="21.9" customHeight="1" x14ac:dyDescent="0.25">
      <c r="G124" s="334" t="s">
        <v>471</v>
      </c>
      <c r="H124" s="237"/>
      <c r="I124" s="237"/>
      <c r="J124" s="237"/>
      <c r="K124" s="237"/>
      <c r="L124" s="237"/>
      <c r="M124" s="237"/>
      <c r="N124" s="237"/>
      <c r="O124" s="237"/>
      <c r="P124" s="237"/>
      <c r="Q124" s="237"/>
      <c r="R124" s="237"/>
      <c r="S124" s="237"/>
      <c r="T124" s="237"/>
      <c r="U124" s="237"/>
      <c r="V124" s="237"/>
      <c r="W124" s="237"/>
      <c r="X124" s="237"/>
      <c r="Y124" s="237"/>
      <c r="Z124" s="237"/>
      <c r="AA124" s="237"/>
      <c r="AB124" s="237"/>
      <c r="AC124" s="237"/>
      <c r="AD124" s="237"/>
      <c r="AE124" s="237"/>
      <c r="AF124" s="237"/>
      <c r="AG124" s="237"/>
      <c r="AH124" s="237"/>
      <c r="AI124" s="237"/>
      <c r="AJ124" s="237"/>
      <c r="AK124" s="237"/>
      <c r="AL124" s="237"/>
      <c r="AM124" s="237"/>
      <c r="AN124" s="237"/>
      <c r="AO124" s="237"/>
      <c r="AP124" s="237"/>
      <c r="AQ124" s="237"/>
      <c r="AR124" s="237"/>
      <c r="AS124" s="237"/>
      <c r="AT124" s="237"/>
      <c r="AU124" s="237"/>
      <c r="AV124" s="237"/>
      <c r="AW124" s="238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DM124" s="5"/>
      <c r="DN124" s="5"/>
      <c r="DO124" s="5"/>
      <c r="DP124" s="5"/>
      <c r="DQ124" s="5"/>
      <c r="DR124" s="5"/>
      <c r="DS124" s="5"/>
      <c r="DT124" s="5"/>
      <c r="DU124" s="5"/>
      <c r="DV124" s="5"/>
      <c r="DW124" s="5"/>
      <c r="DX124" s="5"/>
      <c r="DY124" s="5"/>
      <c r="DZ124" s="5"/>
      <c r="EA124" s="5"/>
      <c r="EB124" s="5"/>
      <c r="EC124" s="5"/>
      <c r="ED124" s="5"/>
      <c r="EE124" s="5"/>
      <c r="EF124" s="5"/>
      <c r="EG124" s="5"/>
      <c r="EH124" s="5"/>
      <c r="EI124" s="5"/>
      <c r="EJ124" s="5"/>
      <c r="EK124" s="5"/>
      <c r="EL124" s="5"/>
      <c r="EM124" s="5"/>
      <c r="EN124" s="5"/>
      <c r="EO124" s="5"/>
      <c r="EP124" s="5"/>
      <c r="EQ124" s="5"/>
      <c r="ER124" s="5"/>
      <c r="ES124" s="5"/>
      <c r="ET124" s="5"/>
      <c r="EU124" s="5"/>
      <c r="EV124" s="5"/>
      <c r="EW124" s="5"/>
      <c r="EX124" s="5"/>
      <c r="EY124" s="5"/>
      <c r="EZ124" s="5"/>
      <c r="FA124" s="5"/>
      <c r="FB124" s="5"/>
      <c r="FC124" s="5"/>
      <c r="FD124" s="5"/>
      <c r="FE124" s="5"/>
      <c r="FF124" s="5"/>
      <c r="FG124" s="5"/>
      <c r="FH124" s="5"/>
      <c r="FI124" s="5"/>
      <c r="FJ124" s="5"/>
      <c r="FK124" s="5"/>
      <c r="FL124" s="5"/>
      <c r="FM124" s="5"/>
      <c r="FN124" s="5"/>
      <c r="FO124" s="5"/>
      <c r="FP124" s="5"/>
      <c r="FQ124" s="5"/>
      <c r="FR124" s="5"/>
      <c r="FS124" s="5"/>
      <c r="FT124" s="5"/>
      <c r="FU124" s="5"/>
      <c r="FV124" s="5"/>
      <c r="FW124" s="5"/>
      <c r="FX124" s="5"/>
      <c r="FY124" s="5"/>
      <c r="FZ124" s="5"/>
      <c r="GA124" s="5"/>
      <c r="GB124" s="5"/>
      <c r="GC124" s="5"/>
      <c r="GD124" s="5"/>
      <c r="GE124" s="5"/>
      <c r="GF124" s="5"/>
      <c r="GG124" s="5"/>
      <c r="GH124" s="5"/>
      <c r="GI124" s="5"/>
      <c r="GJ124" s="5"/>
      <c r="GK124" s="5"/>
      <c r="GL124" s="5"/>
      <c r="GM124" s="5"/>
      <c r="GN124" s="5"/>
      <c r="GO124" s="5"/>
      <c r="GP124" s="5"/>
      <c r="GQ124" s="5"/>
      <c r="GR124" s="5"/>
      <c r="GS124" s="5"/>
      <c r="GT124" s="5"/>
      <c r="GU124" s="5"/>
      <c r="GV124" s="5"/>
      <c r="GW124" s="5"/>
      <c r="GX124" s="5"/>
      <c r="GY124" s="5"/>
      <c r="GZ124" s="5"/>
    </row>
    <row r="125" spans="1:208" ht="3.9" customHeight="1" x14ac:dyDescent="0.25">
      <c r="E125" s="9" t="s">
        <v>9</v>
      </c>
      <c r="F125" s="54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  <c r="AL125" s="11"/>
      <c r="AM125" s="11"/>
      <c r="AN125" s="11"/>
      <c r="AO125" s="11"/>
      <c r="AP125" s="11"/>
      <c r="AQ125" s="11"/>
      <c r="AR125" s="11"/>
      <c r="AS125" s="11"/>
      <c r="AT125" s="11"/>
      <c r="AU125" s="11"/>
      <c r="AV125" s="11"/>
      <c r="AW125" s="11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DM125" s="5"/>
      <c r="DN125" s="5"/>
      <c r="DO125" s="5"/>
      <c r="DP125" s="5"/>
      <c r="DQ125" s="5"/>
      <c r="DR125" s="5"/>
      <c r="DS125" s="5"/>
      <c r="DT125" s="5"/>
      <c r="DU125" s="5"/>
      <c r="DV125" s="5"/>
      <c r="DW125" s="5"/>
      <c r="DX125" s="5"/>
      <c r="DY125" s="5"/>
      <c r="DZ125" s="5"/>
      <c r="EA125" s="5"/>
      <c r="EB125" s="5"/>
      <c r="EC125" s="5"/>
      <c r="ED125" s="5"/>
      <c r="EE125" s="5"/>
      <c r="EF125" s="5"/>
      <c r="EG125" s="5"/>
      <c r="EH125" s="5"/>
      <c r="EI125" s="5"/>
      <c r="EJ125" s="5"/>
      <c r="EK125" s="5"/>
      <c r="EL125" s="5"/>
      <c r="EM125" s="5"/>
      <c r="EN125" s="5"/>
      <c r="EO125" s="5"/>
      <c r="EP125" s="5"/>
      <c r="EQ125" s="5"/>
      <c r="ER125" s="5"/>
      <c r="ES125" s="5"/>
      <c r="ET125" s="5"/>
      <c r="EU125" s="5"/>
      <c r="EV125" s="5"/>
      <c r="EW125" s="5"/>
      <c r="EX125" s="5"/>
      <c r="EY125" s="5"/>
      <c r="EZ125" s="5"/>
      <c r="FA125" s="5"/>
      <c r="FB125" s="5"/>
      <c r="FC125" s="5"/>
      <c r="FD125" s="5"/>
      <c r="FE125" s="5"/>
      <c r="FF125" s="5"/>
      <c r="FG125" s="5"/>
      <c r="FH125" s="5"/>
      <c r="FI125" s="5"/>
      <c r="FJ125" s="5"/>
      <c r="FK125" s="5"/>
      <c r="FL125" s="5"/>
      <c r="FM125" s="5"/>
      <c r="FN125" s="5"/>
      <c r="FO125" s="5"/>
      <c r="FP125" s="5"/>
      <c r="FQ125" s="5"/>
      <c r="FR125" s="5"/>
      <c r="FS125" s="5"/>
      <c r="FT125" s="5"/>
      <c r="FU125" s="5"/>
      <c r="FV125" s="5"/>
      <c r="FW125" s="5"/>
      <c r="FX125" s="5"/>
      <c r="FY125" s="5"/>
      <c r="FZ125" s="5"/>
      <c r="GA125" s="5"/>
      <c r="GB125" s="5"/>
      <c r="GC125" s="5"/>
      <c r="GD125" s="5"/>
      <c r="GE125" s="5"/>
      <c r="GF125" s="5"/>
      <c r="GG125" s="5"/>
      <c r="GH125" s="5"/>
      <c r="GI125" s="5"/>
      <c r="GJ125" s="5"/>
      <c r="GK125" s="5"/>
      <c r="GL125" s="5"/>
      <c r="GM125" s="5"/>
      <c r="GN125" s="5"/>
      <c r="GO125" s="5"/>
      <c r="GP125" s="5"/>
      <c r="GQ125" s="5"/>
      <c r="GR125" s="5"/>
      <c r="GS125" s="5"/>
      <c r="GT125" s="5"/>
      <c r="GU125" s="5"/>
      <c r="GV125" s="5"/>
      <c r="GW125" s="5"/>
      <c r="GX125" s="5"/>
      <c r="GY125" s="5"/>
      <c r="GZ125" s="5"/>
    </row>
    <row r="126" spans="1:208" ht="11.1" customHeight="1" x14ac:dyDescent="0.25">
      <c r="G126" s="395" t="s">
        <v>202</v>
      </c>
      <c r="H126" s="396"/>
      <c r="I126" s="396"/>
      <c r="J126" s="396"/>
      <c r="K126" s="396"/>
      <c r="L126" s="396"/>
      <c r="M126" s="396"/>
      <c r="N126" s="396"/>
      <c r="O126" s="396"/>
      <c r="P126" s="396"/>
      <c r="Q126" s="396"/>
      <c r="R126" s="396"/>
      <c r="S126" s="396"/>
      <c r="T126" s="396"/>
      <c r="U126" s="396"/>
      <c r="V126" s="396"/>
      <c r="W126" s="396"/>
      <c r="X126" s="396"/>
      <c r="Y126" s="396"/>
      <c r="Z126" s="396"/>
      <c r="AA126" s="396"/>
      <c r="AB126" s="396"/>
      <c r="AC126" s="396"/>
      <c r="AD126" s="396"/>
      <c r="AE126" s="396"/>
      <c r="AF126" s="396"/>
      <c r="AG126" s="396"/>
      <c r="AH126" s="396"/>
      <c r="AI126" s="396"/>
      <c r="AJ126" s="396"/>
      <c r="AK126" s="396"/>
      <c r="AL126" s="396"/>
      <c r="AM126" s="396"/>
      <c r="AN126" s="396"/>
      <c r="AO126" s="396"/>
      <c r="AP126" s="396"/>
      <c r="AQ126" s="396"/>
      <c r="AR126" s="396"/>
      <c r="AS126" s="396"/>
      <c r="AT126" s="396"/>
      <c r="AU126" s="396"/>
      <c r="AV126" s="396"/>
      <c r="AW126" s="397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X126" s="5"/>
      <c r="CY126" s="5"/>
      <c r="CZ126" s="5"/>
      <c r="DA126" s="5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M126" s="5"/>
      <c r="DN126"/>
      <c r="DO126"/>
      <c r="DP126" s="5"/>
      <c r="DQ126" s="5"/>
      <c r="DR126" s="5"/>
      <c r="DS126" s="5"/>
      <c r="DT126" s="5"/>
      <c r="DU126" s="5"/>
      <c r="DV126" s="5"/>
      <c r="DW126" s="5"/>
      <c r="DX126" s="5"/>
      <c r="DY126" s="5"/>
      <c r="DZ126" s="5"/>
      <c r="EA126" s="5"/>
      <c r="EB126" s="5"/>
      <c r="EC126" s="5"/>
      <c r="ED126" s="5"/>
      <c r="EE126" s="5"/>
      <c r="EF126" s="5"/>
      <c r="EG126" s="5"/>
      <c r="EH126" s="5"/>
      <c r="EI126" s="5"/>
      <c r="EJ126" s="5"/>
      <c r="EK126" s="5"/>
      <c r="EL126" s="5"/>
      <c r="EM126" s="5"/>
      <c r="EN126" s="5"/>
      <c r="EO126" s="5"/>
      <c r="EP126" s="5"/>
      <c r="EQ126" s="5"/>
      <c r="ER126" s="5"/>
      <c r="ES126" s="5"/>
      <c r="ET126" s="5"/>
      <c r="EU126" s="5"/>
      <c r="EV126" s="5"/>
      <c r="EW126" s="5"/>
      <c r="EX126" s="5"/>
      <c r="EY126" s="5"/>
      <c r="EZ126" s="5"/>
      <c r="FA126" s="5"/>
      <c r="FB126" s="5"/>
      <c r="FC126" s="5"/>
      <c r="FD126" s="5"/>
      <c r="FE126" s="5"/>
      <c r="FF126" s="5"/>
      <c r="FG126" s="5"/>
      <c r="FH126" s="5"/>
      <c r="FI126" s="5"/>
      <c r="FJ126" s="5"/>
      <c r="FK126" s="5"/>
      <c r="FL126" s="5"/>
      <c r="FM126" s="5"/>
      <c r="FN126" s="5"/>
      <c r="FO126" s="5"/>
      <c r="FP126" s="5"/>
      <c r="FQ126" s="5"/>
      <c r="FR126" s="5"/>
      <c r="FS126" s="5"/>
      <c r="FT126" s="5"/>
      <c r="FU126" s="5"/>
      <c r="FV126" s="5"/>
      <c r="FW126" s="5"/>
      <c r="FX126" s="5"/>
      <c r="FY126" s="5"/>
      <c r="FZ126" s="5"/>
      <c r="GA126" s="5"/>
      <c r="GB126" s="5"/>
      <c r="GC126" s="5"/>
      <c r="GD126" s="5"/>
      <c r="GE126" s="5"/>
      <c r="GF126" s="5"/>
      <c r="GG126" s="5"/>
      <c r="GH126" s="5"/>
      <c r="GI126" s="5"/>
      <c r="GJ126" s="5"/>
      <c r="GK126" s="5"/>
      <c r="GL126" s="5"/>
      <c r="GM126" s="5"/>
      <c r="GN126" s="5"/>
      <c r="GO126" s="5"/>
      <c r="GP126" s="5"/>
      <c r="GQ126" s="5"/>
      <c r="GR126" s="5"/>
      <c r="GS126" s="5"/>
      <c r="GT126" s="5"/>
      <c r="GU126" s="5"/>
      <c r="GV126" s="5"/>
      <c r="GW126" s="5"/>
      <c r="GX126" s="5"/>
      <c r="GY126" s="5"/>
      <c r="GZ126" s="5"/>
    </row>
    <row r="127" spans="1:208" ht="11.1" customHeight="1" x14ac:dyDescent="0.25">
      <c r="G127" s="224" t="s">
        <v>28</v>
      </c>
      <c r="H127" s="225"/>
      <c r="I127" s="487" t="s">
        <v>29</v>
      </c>
      <c r="J127" s="487"/>
      <c r="K127" s="487"/>
      <c r="L127" s="487"/>
      <c r="M127" s="487"/>
      <c r="N127" s="487"/>
      <c r="O127" s="487"/>
      <c r="P127" s="487"/>
      <c r="Q127" s="487"/>
      <c r="R127" s="487"/>
      <c r="S127" s="487"/>
      <c r="T127" s="487"/>
      <c r="U127" s="487"/>
      <c r="V127" s="487"/>
      <c r="W127" s="487"/>
      <c r="X127" s="487"/>
      <c r="Y127" s="487"/>
      <c r="Z127" s="487" t="s">
        <v>203</v>
      </c>
      <c r="AA127" s="487"/>
      <c r="AB127" s="487"/>
      <c r="AC127" s="500"/>
      <c r="AD127" s="500"/>
      <c r="AE127" s="500"/>
      <c r="AF127" s="86"/>
      <c r="AG127" s="325" t="s">
        <v>262</v>
      </c>
      <c r="AH127" s="326"/>
      <c r="AI127" s="326"/>
      <c r="AJ127" s="326"/>
      <c r="AK127" s="326"/>
      <c r="AL127" s="326"/>
      <c r="AM127" s="326"/>
      <c r="AN127" s="326"/>
      <c r="AO127" s="327"/>
      <c r="AP127" s="328" t="s">
        <v>340</v>
      </c>
      <c r="AQ127" s="329"/>
      <c r="AR127" s="329"/>
      <c r="AS127" s="329"/>
      <c r="AT127" s="386" t="s">
        <v>341</v>
      </c>
      <c r="AU127" s="387"/>
      <c r="AV127" s="387"/>
      <c r="AW127" s="388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X127" s="5"/>
      <c r="CY127" s="5"/>
      <c r="CZ127" s="5"/>
      <c r="DA127" s="5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M127" s="5"/>
      <c r="DP127" s="5"/>
      <c r="DQ127" s="5"/>
      <c r="DR127" s="5"/>
      <c r="DS127" s="5"/>
      <c r="DT127" s="5"/>
      <c r="DU127" s="5"/>
      <c r="DV127" s="5"/>
      <c r="DW127" s="5"/>
      <c r="DX127" s="5"/>
      <c r="DY127" s="5"/>
      <c r="DZ127" s="5"/>
      <c r="EA127" s="5"/>
      <c r="EB127" s="5"/>
      <c r="EC127" s="5"/>
      <c r="ED127" s="5"/>
      <c r="EE127" s="5"/>
      <c r="EF127" s="5"/>
      <c r="EG127" s="5"/>
      <c r="EH127" s="5"/>
      <c r="EI127" s="5"/>
      <c r="EJ127" s="5"/>
      <c r="EK127" s="5"/>
      <c r="EL127" s="5"/>
      <c r="EM127" s="5"/>
      <c r="EN127" s="5"/>
      <c r="EO127" s="5"/>
      <c r="EP127" s="5"/>
      <c r="EQ127" s="5"/>
      <c r="ER127" s="5"/>
      <c r="ES127" s="5"/>
      <c r="ET127" s="5"/>
      <c r="EU127" s="5"/>
      <c r="EV127" s="5"/>
      <c r="EW127" s="5"/>
      <c r="EX127" s="5"/>
      <c r="EY127" s="5"/>
      <c r="EZ127" s="5"/>
      <c r="FA127" s="5"/>
      <c r="FB127" s="5"/>
      <c r="FC127" s="5"/>
      <c r="FD127" s="5"/>
      <c r="FE127" s="5"/>
      <c r="FF127" s="5"/>
      <c r="FG127" s="5"/>
      <c r="FH127" s="5"/>
      <c r="FI127" s="5"/>
      <c r="FJ127" s="5"/>
      <c r="FK127" s="5"/>
      <c r="FL127" s="5"/>
      <c r="FM127" s="5"/>
      <c r="FN127" s="5"/>
      <c r="FO127" s="5"/>
      <c r="FP127" s="5"/>
      <c r="FQ127" s="5"/>
      <c r="FR127" s="5"/>
      <c r="FS127" s="5"/>
      <c r="FT127" s="5"/>
      <c r="FU127" s="5"/>
      <c r="FV127" s="5"/>
      <c r="FW127" s="5"/>
      <c r="FX127" s="5"/>
      <c r="FY127" s="5"/>
      <c r="FZ127" s="5"/>
      <c r="GA127" s="5"/>
      <c r="GB127" s="5"/>
      <c r="GC127" s="5"/>
      <c r="GD127" s="5"/>
      <c r="GE127" s="5"/>
      <c r="GF127" s="5"/>
      <c r="GG127" s="5"/>
      <c r="GH127" s="5"/>
      <c r="GI127" s="5"/>
      <c r="GJ127" s="5"/>
      <c r="GK127" s="5"/>
      <c r="GL127" s="5"/>
      <c r="GM127" s="5"/>
      <c r="GN127" s="5"/>
      <c r="GO127" s="5"/>
      <c r="GP127" s="5"/>
      <c r="GQ127" s="5"/>
      <c r="GR127" s="5"/>
      <c r="GS127" s="5"/>
      <c r="GT127" s="5"/>
      <c r="GU127" s="5"/>
      <c r="GV127" s="5"/>
      <c r="GW127" s="5"/>
      <c r="GX127" s="5"/>
      <c r="GY127" s="5"/>
      <c r="GZ127" s="5"/>
    </row>
    <row r="128" spans="1:208" ht="11.1" customHeight="1" x14ac:dyDescent="0.25">
      <c r="C128" s="8" t="str">
        <f>IF(C58=1,1,"")</f>
        <v/>
      </c>
      <c r="G128" s="399">
        <v>1</v>
      </c>
      <c r="H128" s="400"/>
      <c r="I128" s="401"/>
      <c r="J128" s="402"/>
      <c r="K128" s="402"/>
      <c r="L128" s="402"/>
      <c r="M128" s="402"/>
      <c r="N128" s="402"/>
      <c r="O128" s="402"/>
      <c r="P128" s="402"/>
      <c r="Q128" s="402"/>
      <c r="R128" s="402"/>
      <c r="S128" s="402"/>
      <c r="T128" s="402"/>
      <c r="U128" s="402"/>
      <c r="V128" s="402"/>
      <c r="W128" s="402"/>
      <c r="X128" s="402"/>
      <c r="Y128" s="402"/>
      <c r="Z128" s="405"/>
      <c r="AA128" s="405"/>
      <c r="AB128" s="405"/>
      <c r="AC128" s="406"/>
      <c r="AD128" s="406"/>
      <c r="AE128" s="406"/>
      <c r="AF128" s="86"/>
      <c r="AG128" s="383" t="s">
        <v>238</v>
      </c>
      <c r="AH128" s="384"/>
      <c r="AI128" s="384"/>
      <c r="AJ128" s="384"/>
      <c r="AK128" s="384"/>
      <c r="AL128" s="384"/>
      <c r="AM128" s="384"/>
      <c r="AN128" s="384"/>
      <c r="AO128" s="385"/>
      <c r="AP128" s="330">
        <f>AR72</f>
        <v>0</v>
      </c>
      <c r="AQ128" s="331"/>
      <c r="AR128" s="331"/>
      <c r="AS128" s="331"/>
      <c r="AT128" s="321">
        <f>IF(AJ72=0,0,AR72/AJ72)</f>
        <v>0</v>
      </c>
      <c r="AU128" s="322"/>
      <c r="AV128" s="322"/>
      <c r="AW128" s="323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X128" s="5"/>
      <c r="CY128" s="5"/>
      <c r="CZ128" s="5"/>
      <c r="DA128" s="5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P128" s="5"/>
      <c r="DQ128" s="5"/>
      <c r="DR128" s="5"/>
      <c r="DS128" s="5"/>
      <c r="DT128" s="5"/>
      <c r="DU128" s="5"/>
      <c r="DV128" s="5"/>
      <c r="DW128" s="5"/>
      <c r="DX128" s="5"/>
      <c r="DY128" s="5"/>
      <c r="DZ128" s="5"/>
      <c r="FE128" s="5"/>
      <c r="FF128" s="5"/>
      <c r="FG128" s="5"/>
      <c r="FH128" s="5"/>
      <c r="FI128" s="5"/>
      <c r="FJ128" s="5"/>
      <c r="FK128" s="5"/>
      <c r="FL128" s="5"/>
      <c r="FM128" s="5"/>
      <c r="FN128" s="5"/>
      <c r="FO128" s="5"/>
      <c r="FP128" s="5"/>
      <c r="FQ128" s="5"/>
      <c r="FR128" s="5"/>
      <c r="FS128" s="5"/>
      <c r="FT128" s="5"/>
      <c r="FU128" s="5"/>
      <c r="FV128" s="5"/>
      <c r="FW128" s="5"/>
      <c r="FX128" s="5"/>
      <c r="FY128" s="5"/>
      <c r="FZ128" s="5"/>
      <c r="GA128" s="5"/>
      <c r="GB128" s="5"/>
      <c r="GC128" s="5"/>
      <c r="GD128" s="5"/>
      <c r="GE128" s="5"/>
      <c r="GF128" s="5"/>
      <c r="GG128" s="5"/>
      <c r="GH128" s="5"/>
      <c r="GI128" s="5"/>
      <c r="GJ128" s="5"/>
      <c r="GK128" s="5"/>
      <c r="GL128" s="5"/>
      <c r="GM128" s="5"/>
      <c r="GN128" s="5"/>
      <c r="GO128" s="5"/>
      <c r="GP128" s="5"/>
      <c r="GQ128" s="5"/>
      <c r="GR128" s="5"/>
      <c r="GS128" s="5"/>
      <c r="GT128" s="5"/>
      <c r="GU128" s="5"/>
      <c r="GV128" s="5"/>
      <c r="GW128" s="5"/>
      <c r="GX128" s="5"/>
      <c r="GY128" s="5"/>
      <c r="GZ128" s="5"/>
    </row>
    <row r="129" spans="5:208" ht="11.1" customHeight="1" x14ac:dyDescent="0.25">
      <c r="G129" s="363">
        <f t="shared" ref="G129:G137" si="4">G128+1</f>
        <v>2</v>
      </c>
      <c r="H129" s="364"/>
      <c r="I129" s="407"/>
      <c r="J129" s="408"/>
      <c r="K129" s="408"/>
      <c r="L129" s="408"/>
      <c r="M129" s="408"/>
      <c r="N129" s="408"/>
      <c r="O129" s="408"/>
      <c r="P129" s="408"/>
      <c r="Q129" s="408"/>
      <c r="R129" s="408"/>
      <c r="S129" s="408"/>
      <c r="T129" s="408"/>
      <c r="U129" s="408"/>
      <c r="V129" s="408"/>
      <c r="W129" s="408"/>
      <c r="X129" s="408"/>
      <c r="Y129" s="408"/>
      <c r="Z129" s="342"/>
      <c r="AA129" s="342"/>
      <c r="AB129" s="342"/>
      <c r="AC129" s="343"/>
      <c r="AD129" s="343"/>
      <c r="AE129" s="343"/>
      <c r="AF129" s="86"/>
      <c r="AG129" s="291" t="s">
        <v>337</v>
      </c>
      <c r="AH129" s="292"/>
      <c r="AI129" s="292"/>
      <c r="AJ129" s="292"/>
      <c r="AK129" s="292"/>
      <c r="AL129" s="292"/>
      <c r="AM129" s="292"/>
      <c r="AN129" s="292"/>
      <c r="AO129" s="293"/>
      <c r="AP129" s="332">
        <f>AB119</f>
        <v>0</v>
      </c>
      <c r="AQ129" s="333"/>
      <c r="AR129" s="333"/>
      <c r="AS129" s="333"/>
      <c r="AT129" s="318">
        <f>IF(AC72=0,0,AP129/AC72)</f>
        <v>0</v>
      </c>
      <c r="AU129" s="319"/>
      <c r="AV129" s="319"/>
      <c r="AW129" s="320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X129" s="5"/>
      <c r="CY129" s="5"/>
      <c r="CZ129" s="5"/>
      <c r="DA129" s="5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P129" s="5"/>
      <c r="DQ129" s="5"/>
      <c r="DR129" s="5"/>
      <c r="DS129" s="5"/>
      <c r="DT129" s="5"/>
      <c r="DU129" s="5"/>
      <c r="DV129" s="5"/>
      <c r="DW129" s="5"/>
      <c r="DX129" s="5"/>
      <c r="DY129" s="5"/>
      <c r="DZ129" s="5"/>
      <c r="FE129" s="5"/>
      <c r="FF129" s="5"/>
      <c r="FG129" s="5"/>
      <c r="FH129" s="5"/>
      <c r="FI129" s="5"/>
      <c r="FJ129" s="5"/>
      <c r="FK129" s="5"/>
      <c r="FL129" s="5"/>
      <c r="FM129" s="5"/>
      <c r="FN129" s="5"/>
      <c r="FO129" s="5"/>
      <c r="FP129" s="5"/>
      <c r="FQ129" s="5"/>
      <c r="FR129" s="5"/>
      <c r="FS129" s="5"/>
      <c r="FT129" s="5"/>
      <c r="FU129" s="5"/>
      <c r="FV129" s="5"/>
      <c r="FW129" s="5"/>
      <c r="FX129" s="5"/>
      <c r="FY129" s="5"/>
      <c r="FZ129" s="5"/>
      <c r="GA129" s="5"/>
      <c r="GB129" s="5"/>
      <c r="GC129" s="5"/>
      <c r="GD129" s="5"/>
      <c r="GE129" s="5"/>
      <c r="GF129" s="5"/>
      <c r="GG129" s="5"/>
      <c r="GH129" s="5"/>
      <c r="GI129" s="5"/>
      <c r="GJ129" s="5"/>
      <c r="GK129" s="5"/>
      <c r="GL129" s="5"/>
      <c r="GM129" s="5"/>
      <c r="GN129" s="5"/>
      <c r="GO129" s="5"/>
      <c r="GP129" s="5"/>
      <c r="GQ129" s="5"/>
      <c r="GR129" s="5"/>
      <c r="GS129" s="5"/>
      <c r="GT129" s="5"/>
      <c r="GU129" s="5"/>
      <c r="GV129" s="5"/>
      <c r="GW129" s="5"/>
      <c r="GX129" s="5"/>
      <c r="GY129" s="5"/>
      <c r="GZ129" s="5"/>
    </row>
    <row r="130" spans="5:208" ht="11.1" customHeight="1" x14ac:dyDescent="0.25">
      <c r="G130" s="363">
        <f t="shared" si="4"/>
        <v>3</v>
      </c>
      <c r="H130" s="364"/>
      <c r="I130" s="408"/>
      <c r="J130" s="408"/>
      <c r="K130" s="408"/>
      <c r="L130" s="408"/>
      <c r="M130" s="408"/>
      <c r="N130" s="408"/>
      <c r="O130" s="408"/>
      <c r="P130" s="408"/>
      <c r="Q130" s="408"/>
      <c r="R130" s="408"/>
      <c r="S130" s="408"/>
      <c r="T130" s="408"/>
      <c r="U130" s="408"/>
      <c r="V130" s="408"/>
      <c r="W130" s="408"/>
      <c r="X130" s="486"/>
      <c r="Y130" s="486"/>
      <c r="Z130" s="342"/>
      <c r="AA130" s="342"/>
      <c r="AB130" s="342"/>
      <c r="AC130" s="343"/>
      <c r="AD130" s="343"/>
      <c r="AE130" s="343"/>
      <c r="AF130" s="86"/>
      <c r="AG130" s="291" t="s">
        <v>342</v>
      </c>
      <c r="AH130" s="292"/>
      <c r="AI130" s="292"/>
      <c r="AJ130" s="292"/>
      <c r="AK130" s="292"/>
      <c r="AL130" s="292"/>
      <c r="AM130" s="292"/>
      <c r="AN130" s="292"/>
      <c r="AO130" s="293"/>
      <c r="AP130" s="332">
        <f>AB121</f>
        <v>0</v>
      </c>
      <c r="AQ130" s="333"/>
      <c r="AR130" s="333"/>
      <c r="AS130" s="333"/>
      <c r="AT130" s="318">
        <f>IF(AC72=0,0,AP130/AC72)</f>
        <v>0</v>
      </c>
      <c r="AU130" s="319"/>
      <c r="AV130" s="319"/>
      <c r="AW130" s="320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X130" s="5"/>
      <c r="CY130" s="5"/>
      <c r="CZ130" s="5"/>
      <c r="DA130" s="5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P130" s="5"/>
      <c r="DQ130" s="5"/>
      <c r="DR130" s="5"/>
      <c r="DS130" s="5"/>
      <c r="DT130" s="5"/>
      <c r="DU130" s="5"/>
      <c r="DV130" s="5"/>
      <c r="DW130" s="5"/>
      <c r="DX130" s="5"/>
      <c r="DY130" s="5"/>
      <c r="DZ130" s="5"/>
      <c r="FE130" s="5"/>
      <c r="FF130" s="5"/>
      <c r="FG130" s="5"/>
      <c r="FH130" s="5"/>
      <c r="FI130" s="5"/>
      <c r="FJ130" s="5"/>
      <c r="FK130" s="5"/>
      <c r="FL130" s="5"/>
      <c r="FM130" s="5"/>
      <c r="FN130" s="5"/>
      <c r="FO130" s="5"/>
      <c r="FP130" s="5"/>
      <c r="FQ130" s="5"/>
      <c r="FR130" s="5"/>
      <c r="FS130" s="5"/>
      <c r="FT130" s="5"/>
      <c r="FU130" s="5"/>
      <c r="FV130" s="5"/>
      <c r="FW130" s="5"/>
      <c r="FX130" s="5"/>
      <c r="FY130" s="5"/>
      <c r="FZ130" s="5"/>
      <c r="GA130" s="5"/>
      <c r="GB130" s="5"/>
      <c r="GC130" s="5"/>
      <c r="GD130" s="5"/>
      <c r="GE130" s="5"/>
      <c r="GF130" s="5"/>
      <c r="GG130" s="5"/>
      <c r="GH130" s="5"/>
      <c r="GI130" s="5"/>
      <c r="GJ130" s="5"/>
      <c r="GK130" s="5"/>
      <c r="GL130" s="5"/>
      <c r="GM130" s="5"/>
      <c r="GN130" s="5"/>
      <c r="GO130" s="5"/>
      <c r="GP130" s="5"/>
      <c r="GQ130" s="5"/>
      <c r="GR130" s="5"/>
      <c r="GS130" s="5"/>
      <c r="GT130" s="5"/>
      <c r="GU130" s="5"/>
      <c r="GV130" s="5"/>
      <c r="GW130" s="5"/>
      <c r="GX130" s="5"/>
      <c r="GY130" s="5"/>
      <c r="GZ130" s="5"/>
    </row>
    <row r="131" spans="5:208" ht="11.1" customHeight="1" x14ac:dyDescent="0.25">
      <c r="G131" s="363">
        <f t="shared" si="4"/>
        <v>4</v>
      </c>
      <c r="H131" s="364"/>
      <c r="I131" s="408"/>
      <c r="J131" s="408"/>
      <c r="K131" s="408"/>
      <c r="L131" s="408"/>
      <c r="M131" s="408"/>
      <c r="N131" s="408"/>
      <c r="O131" s="408"/>
      <c r="P131" s="408"/>
      <c r="Q131" s="408"/>
      <c r="R131" s="408"/>
      <c r="S131" s="408"/>
      <c r="T131" s="408"/>
      <c r="U131" s="408"/>
      <c r="V131" s="408"/>
      <c r="W131" s="408"/>
      <c r="X131" s="486"/>
      <c r="Y131" s="486"/>
      <c r="Z131" s="342"/>
      <c r="AA131" s="342"/>
      <c r="AB131" s="342"/>
      <c r="AC131" s="343"/>
      <c r="AD131" s="343"/>
      <c r="AE131" s="343"/>
      <c r="AF131" s="86"/>
      <c r="AG131" s="377" t="s">
        <v>339</v>
      </c>
      <c r="AH131" s="378"/>
      <c r="AI131" s="378"/>
      <c r="AJ131" s="378"/>
      <c r="AK131" s="378"/>
      <c r="AL131" s="378"/>
      <c r="AM131" s="378"/>
      <c r="AN131" s="378"/>
      <c r="AO131" s="379"/>
      <c r="AP131" s="332">
        <f>AP128+AP130</f>
        <v>0</v>
      </c>
      <c r="AQ131" s="333"/>
      <c r="AR131" s="333"/>
      <c r="AS131" s="333"/>
      <c r="AT131" s="303">
        <f>IF(AC72=0,0,AP131/AC72)</f>
        <v>0</v>
      </c>
      <c r="AU131" s="304"/>
      <c r="AV131" s="304"/>
      <c r="AW131" s="30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X131" s="5"/>
      <c r="CY131" s="5"/>
      <c r="CZ131" s="5"/>
      <c r="DA131" s="5"/>
      <c r="DB131" s="5"/>
      <c r="DC131" s="5"/>
      <c r="DD131" s="5"/>
      <c r="DE131" s="5"/>
      <c r="DF131" s="5"/>
      <c r="DG131" s="5"/>
      <c r="DH131" s="5"/>
      <c r="DI131" s="5"/>
      <c r="DJ131" s="5"/>
      <c r="DK131" s="5"/>
      <c r="DL131" s="5"/>
      <c r="DM131" s="5"/>
      <c r="DP131" s="5"/>
      <c r="DQ131" s="5"/>
      <c r="DR131" s="5"/>
      <c r="DS131" s="5"/>
      <c r="DT131" s="5"/>
      <c r="DU131" s="5"/>
      <c r="DV131" s="5"/>
      <c r="DW131" s="5"/>
      <c r="DX131" s="5"/>
      <c r="DY131" s="5"/>
      <c r="DZ131" s="5"/>
      <c r="FE131" s="5"/>
      <c r="FF131" s="5"/>
      <c r="FG131" s="5"/>
      <c r="FH131" s="5"/>
      <c r="FI131" s="5"/>
      <c r="FJ131" s="5"/>
      <c r="FK131" s="5"/>
      <c r="FL131" s="5"/>
      <c r="FM131" s="5"/>
      <c r="FN131" s="5"/>
      <c r="FO131" s="5"/>
      <c r="FP131" s="5"/>
      <c r="FQ131" s="5"/>
      <c r="FR131" s="5"/>
      <c r="FS131" s="5"/>
      <c r="FT131" s="5"/>
      <c r="FU131" s="5"/>
      <c r="FV131" s="5"/>
      <c r="FW131" s="5"/>
      <c r="FX131" s="5"/>
      <c r="FY131" s="5"/>
      <c r="FZ131" s="5"/>
      <c r="GA131" s="5"/>
      <c r="GB131" s="5"/>
      <c r="GC131" s="5"/>
      <c r="GD131" s="5"/>
      <c r="GE131" s="5"/>
      <c r="GF131" s="5"/>
      <c r="GG131" s="5"/>
      <c r="GH131" s="5"/>
      <c r="GI131" s="5"/>
      <c r="GJ131" s="5"/>
      <c r="GK131" s="5"/>
      <c r="GL131" s="5"/>
      <c r="GM131" s="5"/>
      <c r="GN131" s="5"/>
      <c r="GO131" s="5"/>
      <c r="GP131" s="5"/>
      <c r="GQ131" s="5"/>
      <c r="GR131" s="5"/>
      <c r="GS131" s="5"/>
      <c r="GT131" s="5"/>
      <c r="GU131" s="5"/>
      <c r="GV131" s="5"/>
      <c r="GW131" s="5"/>
      <c r="GX131" s="5"/>
      <c r="GY131" s="5"/>
      <c r="GZ131" s="5"/>
    </row>
    <row r="132" spans="5:208" ht="11.1" customHeight="1" x14ac:dyDescent="0.25">
      <c r="G132" s="363">
        <f t="shared" si="4"/>
        <v>5</v>
      </c>
      <c r="H132" s="364"/>
      <c r="I132" s="408"/>
      <c r="J132" s="408"/>
      <c r="K132" s="408"/>
      <c r="L132" s="408"/>
      <c r="M132" s="408"/>
      <c r="N132" s="408"/>
      <c r="O132" s="408"/>
      <c r="P132" s="408"/>
      <c r="Q132" s="408"/>
      <c r="R132" s="408"/>
      <c r="S132" s="408"/>
      <c r="T132" s="408"/>
      <c r="U132" s="408"/>
      <c r="V132" s="408"/>
      <c r="W132" s="408"/>
      <c r="X132" s="486"/>
      <c r="Y132" s="486"/>
      <c r="Z132" s="342"/>
      <c r="AA132" s="342"/>
      <c r="AB132" s="342"/>
      <c r="AC132" s="343"/>
      <c r="AD132" s="343"/>
      <c r="AE132" s="343"/>
      <c r="AF132" s="86"/>
      <c r="AG132" s="285" t="s">
        <v>263</v>
      </c>
      <c r="AH132" s="286"/>
      <c r="AI132" s="286"/>
      <c r="AJ132" s="286"/>
      <c r="AK132" s="286"/>
      <c r="AL132" s="286"/>
      <c r="AM132" s="286"/>
      <c r="AN132" s="286"/>
      <c r="AO132" s="286"/>
      <c r="AP132" s="286"/>
      <c r="AQ132" s="286"/>
      <c r="AR132" s="286"/>
      <c r="AS132" s="286"/>
      <c r="AT132" s="286"/>
      <c r="AU132" s="286"/>
      <c r="AV132" s="286"/>
      <c r="AW132" s="287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X132" s="5"/>
      <c r="CY132" s="5"/>
      <c r="CZ132" s="5"/>
      <c r="DA132" s="5"/>
      <c r="DB132" s="5"/>
      <c r="DC132" s="5"/>
      <c r="DD132" s="5"/>
      <c r="DE132" s="5"/>
      <c r="DF132" s="5"/>
      <c r="DG132" s="5"/>
      <c r="DH132" s="5"/>
      <c r="DI132" s="5"/>
      <c r="DJ132" s="5"/>
      <c r="DK132" s="5"/>
      <c r="DL132" s="5"/>
      <c r="DM132" s="5"/>
      <c r="DN132" s="125"/>
      <c r="DO132" s="125"/>
      <c r="DP132" s="5"/>
      <c r="DQ132" s="5"/>
      <c r="DR132" s="5"/>
      <c r="DS132" s="5"/>
      <c r="DT132" s="5"/>
      <c r="DU132" s="5"/>
      <c r="DV132" s="5"/>
      <c r="DW132" s="5"/>
      <c r="DX132" s="5"/>
      <c r="DY132" s="5"/>
      <c r="DZ132" s="5"/>
      <c r="FE132" s="5"/>
      <c r="FF132" s="5"/>
      <c r="FG132" s="5"/>
      <c r="FH132" s="5"/>
      <c r="FI132" s="5"/>
      <c r="FJ132" s="5"/>
      <c r="FK132" s="5"/>
      <c r="FL132" s="5"/>
      <c r="FM132" s="5"/>
      <c r="FN132" s="5"/>
      <c r="FO132" s="5"/>
      <c r="FP132" s="5"/>
      <c r="FQ132" s="5"/>
      <c r="FR132" s="5"/>
      <c r="FS132" s="5"/>
      <c r="FT132" s="5"/>
      <c r="FU132" s="5"/>
      <c r="FV132" s="5"/>
      <c r="FW132" s="5"/>
      <c r="FX132" s="5"/>
      <c r="FY132" s="5"/>
      <c r="FZ132" s="5"/>
      <c r="GA132" s="5"/>
      <c r="GB132" s="5"/>
      <c r="GC132" s="5"/>
      <c r="GD132" s="5"/>
      <c r="GE132" s="5"/>
      <c r="GF132" s="5"/>
      <c r="GG132" s="5"/>
      <c r="GH132" s="5"/>
      <c r="GI132" s="5"/>
      <c r="GJ132" s="5"/>
      <c r="GK132" s="5"/>
      <c r="GL132" s="5"/>
      <c r="GM132" s="5"/>
      <c r="GN132" s="5"/>
      <c r="GO132" s="5"/>
      <c r="GP132" s="5"/>
      <c r="GQ132" s="5"/>
      <c r="GR132" s="5"/>
      <c r="GS132" s="5"/>
      <c r="GT132" s="5"/>
      <c r="GU132" s="5"/>
      <c r="GV132" s="5"/>
      <c r="GW132" s="5"/>
      <c r="GX132" s="5"/>
      <c r="GY132" s="5"/>
      <c r="GZ132" s="5"/>
    </row>
    <row r="133" spans="5:208" ht="11.1" customHeight="1" x14ac:dyDescent="0.25">
      <c r="G133" s="363">
        <f t="shared" si="4"/>
        <v>6</v>
      </c>
      <c r="H133" s="364"/>
      <c r="I133" s="408"/>
      <c r="J133" s="408"/>
      <c r="K133" s="408"/>
      <c r="L133" s="408"/>
      <c r="M133" s="408"/>
      <c r="N133" s="408"/>
      <c r="O133" s="408"/>
      <c r="P133" s="408"/>
      <c r="Q133" s="408"/>
      <c r="R133" s="408"/>
      <c r="S133" s="408"/>
      <c r="T133" s="408"/>
      <c r="U133" s="408"/>
      <c r="V133" s="408"/>
      <c r="W133" s="408"/>
      <c r="X133" s="486"/>
      <c r="Y133" s="486"/>
      <c r="Z133" s="342"/>
      <c r="AA133" s="342"/>
      <c r="AB133" s="342"/>
      <c r="AC133" s="343"/>
      <c r="AD133" s="343"/>
      <c r="AE133" s="343"/>
      <c r="AF133" s="86"/>
      <c r="AG133" s="288"/>
      <c r="AH133" s="289"/>
      <c r="AI133" s="289"/>
      <c r="AJ133" s="289"/>
      <c r="AK133" s="289"/>
      <c r="AL133" s="289"/>
      <c r="AM133" s="289"/>
      <c r="AN133" s="289"/>
      <c r="AO133" s="289"/>
      <c r="AP133" s="289"/>
      <c r="AQ133" s="289"/>
      <c r="AR133" s="289"/>
      <c r="AS133" s="289"/>
      <c r="AT133" s="289"/>
      <c r="AU133" s="289"/>
      <c r="AV133" s="289"/>
      <c r="AW133" s="290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X133" s="5"/>
      <c r="BY133" s="5"/>
      <c r="BZ133" s="5"/>
      <c r="CA133" s="5"/>
      <c r="CX133" s="5"/>
      <c r="CY133" s="5"/>
      <c r="CZ133" s="5"/>
      <c r="DA133" s="5"/>
      <c r="DB133" s="5"/>
      <c r="DC133" s="5"/>
      <c r="DD133" s="5"/>
      <c r="DE133" s="5"/>
      <c r="DF133" s="5"/>
      <c r="DG133" s="5"/>
      <c r="DH133" s="5"/>
      <c r="DI133" s="5"/>
      <c r="DJ133" s="5"/>
      <c r="DK133" s="5"/>
      <c r="DL133" s="5"/>
      <c r="DM133" s="5"/>
      <c r="DN133" s="125"/>
      <c r="DO133" s="125"/>
      <c r="DP133" s="5"/>
      <c r="DQ133" s="5"/>
      <c r="DR133" s="5"/>
      <c r="DS133" s="5"/>
      <c r="DT133" s="5"/>
      <c r="DU133" s="5"/>
      <c r="DV133" s="5"/>
      <c r="DW133" s="5"/>
      <c r="DX133" s="5"/>
      <c r="DY133" s="5"/>
      <c r="DZ133" s="5"/>
      <c r="FE133" s="5"/>
      <c r="FF133" s="5"/>
      <c r="FG133" s="5"/>
      <c r="FH133" s="5"/>
      <c r="FI133" s="5"/>
      <c r="FJ133" s="5"/>
      <c r="FK133" s="5"/>
      <c r="FL133" s="5"/>
      <c r="FM133" s="5"/>
      <c r="FN133" s="5"/>
      <c r="FO133" s="5"/>
      <c r="FP133" s="5"/>
      <c r="FQ133" s="5"/>
      <c r="FR133" s="5"/>
      <c r="FS133" s="5"/>
      <c r="FT133" s="5"/>
      <c r="FU133" s="5"/>
      <c r="FV133" s="5"/>
      <c r="FW133" s="5"/>
      <c r="FX133" s="5"/>
      <c r="FY133" s="5"/>
      <c r="FZ133" s="5"/>
      <c r="GA133" s="5"/>
      <c r="GB133" s="5"/>
      <c r="GC133" s="5"/>
      <c r="GD133" s="5"/>
      <c r="GE133" s="5"/>
      <c r="GF133" s="5"/>
      <c r="GG133" s="5"/>
      <c r="GH133" s="5"/>
      <c r="GI133" s="5"/>
      <c r="GJ133" s="5"/>
      <c r="GK133" s="5"/>
      <c r="GL133" s="5"/>
      <c r="GM133" s="5"/>
      <c r="GN133" s="5"/>
      <c r="GO133" s="5"/>
      <c r="GP133" s="5"/>
      <c r="GQ133" s="5"/>
      <c r="GR133" s="5"/>
      <c r="GS133" s="5"/>
      <c r="GT133" s="5"/>
      <c r="GU133" s="5"/>
      <c r="GV133" s="5"/>
      <c r="GW133" s="5"/>
      <c r="GX133" s="5"/>
      <c r="GY133" s="5"/>
      <c r="GZ133" s="5"/>
    </row>
    <row r="134" spans="5:208" ht="11.1" customHeight="1" x14ac:dyDescent="0.25">
      <c r="G134" s="363">
        <f t="shared" si="4"/>
        <v>7</v>
      </c>
      <c r="H134" s="364"/>
      <c r="I134" s="408"/>
      <c r="J134" s="408"/>
      <c r="K134" s="408"/>
      <c r="L134" s="408"/>
      <c r="M134" s="408"/>
      <c r="N134" s="408"/>
      <c r="O134" s="408"/>
      <c r="P134" s="408"/>
      <c r="Q134" s="408"/>
      <c r="R134" s="408"/>
      <c r="S134" s="408"/>
      <c r="T134" s="408"/>
      <c r="U134" s="408"/>
      <c r="V134" s="408"/>
      <c r="W134" s="408"/>
      <c r="X134" s="486"/>
      <c r="Y134" s="486"/>
      <c r="Z134" s="342"/>
      <c r="AA134" s="342"/>
      <c r="AB134" s="342"/>
      <c r="AC134" s="343"/>
      <c r="AD134" s="343"/>
      <c r="AE134" s="343"/>
      <c r="AF134" s="86"/>
      <c r="AG134" s="337"/>
      <c r="AH134" s="229"/>
      <c r="AI134" s="229"/>
      <c r="AJ134" s="229"/>
      <c r="AK134" s="229"/>
      <c r="AL134" s="229"/>
      <c r="AM134" s="229"/>
      <c r="AN134" s="229"/>
      <c r="AO134" s="229"/>
      <c r="AP134" s="229"/>
      <c r="AQ134" s="229"/>
      <c r="AR134" s="229"/>
      <c r="AS134" s="229"/>
      <c r="AT134" s="229"/>
      <c r="AU134" s="229"/>
      <c r="AV134" s="229"/>
      <c r="AW134" s="230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X134" s="5"/>
      <c r="BY134" s="5"/>
      <c r="BZ134" s="5"/>
      <c r="CA134" s="5"/>
      <c r="CX134" s="5"/>
      <c r="CY134" s="5"/>
      <c r="CZ134" s="5"/>
      <c r="DA134" s="5"/>
      <c r="DB134" s="5"/>
      <c r="DC134" s="5"/>
      <c r="DD134" s="5"/>
      <c r="DE134" s="5"/>
      <c r="DF134" s="5"/>
      <c r="DG134" s="5"/>
      <c r="DH134" s="5"/>
      <c r="DI134" s="5"/>
      <c r="DJ134" s="5"/>
      <c r="DK134" s="5"/>
      <c r="DL134" s="5"/>
      <c r="DM134" s="5"/>
      <c r="DN134" s="125"/>
      <c r="DO134" s="125"/>
      <c r="DP134" s="5"/>
      <c r="DQ134" s="5"/>
      <c r="DR134" s="5"/>
      <c r="DS134" s="5"/>
      <c r="DT134" s="5"/>
      <c r="DU134" s="5"/>
      <c r="DV134" s="5"/>
      <c r="DW134" s="5"/>
      <c r="DX134" s="5"/>
      <c r="DY134" s="5"/>
      <c r="DZ134" s="5"/>
      <c r="FE134" s="5"/>
      <c r="FF134" s="5"/>
      <c r="FG134" s="5"/>
      <c r="FH134" s="5"/>
      <c r="FI134" s="5"/>
      <c r="FJ134" s="5"/>
      <c r="FK134" s="5"/>
      <c r="FL134" s="5"/>
      <c r="FM134" s="5"/>
      <c r="FN134" s="5"/>
      <c r="FO134" s="5"/>
      <c r="FP134" s="5"/>
      <c r="FQ134" s="5"/>
      <c r="FR134" s="5"/>
      <c r="FS134" s="5"/>
      <c r="FT134" s="5"/>
      <c r="FU134" s="5"/>
      <c r="FV134" s="5"/>
      <c r="FW134" s="5"/>
      <c r="FX134" s="5"/>
      <c r="FY134" s="5"/>
      <c r="FZ134" s="5"/>
      <c r="GA134" s="5"/>
      <c r="GB134" s="5"/>
      <c r="GC134" s="5"/>
      <c r="GD134" s="5"/>
      <c r="GE134" s="5"/>
      <c r="GF134" s="5"/>
      <c r="GG134" s="5"/>
      <c r="GH134" s="5"/>
      <c r="GI134" s="5"/>
      <c r="GJ134" s="5"/>
      <c r="GK134" s="5"/>
      <c r="GL134" s="5"/>
      <c r="GM134" s="5"/>
      <c r="GN134" s="5"/>
      <c r="GO134" s="5"/>
      <c r="GP134" s="5"/>
      <c r="GQ134" s="5"/>
      <c r="GR134" s="5"/>
      <c r="GS134" s="5"/>
      <c r="GT134" s="5"/>
      <c r="GU134" s="5"/>
      <c r="GV134" s="5"/>
      <c r="GW134" s="5"/>
      <c r="GX134" s="5"/>
      <c r="GY134" s="5"/>
      <c r="GZ134" s="5"/>
    </row>
    <row r="135" spans="5:208" ht="11.1" customHeight="1" x14ac:dyDescent="0.25">
      <c r="G135" s="363">
        <f t="shared" si="4"/>
        <v>8</v>
      </c>
      <c r="H135" s="364"/>
      <c r="I135" s="408"/>
      <c r="J135" s="408"/>
      <c r="K135" s="408"/>
      <c r="L135" s="408"/>
      <c r="M135" s="408"/>
      <c r="N135" s="408"/>
      <c r="O135" s="408"/>
      <c r="P135" s="408"/>
      <c r="Q135" s="408"/>
      <c r="R135" s="408"/>
      <c r="S135" s="408"/>
      <c r="T135" s="408"/>
      <c r="U135" s="408"/>
      <c r="V135" s="408"/>
      <c r="W135" s="408"/>
      <c r="X135" s="486"/>
      <c r="Y135" s="486"/>
      <c r="Z135" s="342"/>
      <c r="AA135" s="342"/>
      <c r="AB135" s="342"/>
      <c r="AC135" s="343"/>
      <c r="AD135" s="343"/>
      <c r="AE135" s="343"/>
      <c r="AF135" s="86"/>
      <c r="AG135" s="338"/>
      <c r="AH135" s="339"/>
      <c r="AI135" s="339"/>
      <c r="AJ135" s="339"/>
      <c r="AK135" s="339"/>
      <c r="AL135" s="339"/>
      <c r="AM135" s="339"/>
      <c r="AN135" s="339"/>
      <c r="AO135" s="339"/>
      <c r="AP135" s="339"/>
      <c r="AQ135" s="339"/>
      <c r="AR135" s="339"/>
      <c r="AS135" s="339"/>
      <c r="AT135" s="339"/>
      <c r="AU135" s="339"/>
      <c r="AV135" s="339"/>
      <c r="AW135" s="340"/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X135" s="5"/>
      <c r="BY135" s="5"/>
      <c r="BZ135" s="5"/>
      <c r="CA135" s="5"/>
      <c r="CX135" s="5"/>
      <c r="CY135" s="5"/>
      <c r="CZ135" s="5"/>
      <c r="DA135" s="5"/>
      <c r="DB135" s="5"/>
      <c r="DC135" s="5"/>
      <c r="DD135" s="5"/>
      <c r="DE135" s="5"/>
      <c r="DF135" s="5"/>
      <c r="DG135" s="5"/>
      <c r="DH135" s="5"/>
      <c r="DI135" s="5"/>
      <c r="DJ135" s="5"/>
      <c r="DK135" s="5"/>
      <c r="DL135" s="5"/>
      <c r="DM135" s="5"/>
      <c r="DN135" s="125"/>
      <c r="DO135" s="125"/>
      <c r="DP135" s="5"/>
      <c r="DQ135" s="5"/>
      <c r="DR135" s="5"/>
      <c r="DS135" s="5"/>
      <c r="DT135" s="5"/>
      <c r="DU135" s="5"/>
      <c r="DV135" s="5"/>
      <c r="DW135" s="5"/>
      <c r="DX135" s="5"/>
      <c r="DY135" s="5"/>
      <c r="DZ135" s="5"/>
      <c r="FE135" s="5"/>
      <c r="FF135" s="5"/>
      <c r="FG135" s="5"/>
      <c r="FH135" s="5"/>
      <c r="FI135" s="5"/>
      <c r="FJ135" s="5"/>
      <c r="FK135" s="5"/>
      <c r="FL135" s="5"/>
      <c r="FM135" s="5"/>
      <c r="FN135" s="5"/>
      <c r="FO135" s="5"/>
      <c r="FP135" s="5"/>
      <c r="FQ135" s="5"/>
      <c r="FR135" s="5"/>
      <c r="FS135" s="5"/>
      <c r="FT135" s="5"/>
      <c r="FU135" s="5"/>
      <c r="FV135" s="5"/>
      <c r="FW135" s="5"/>
      <c r="FX135" s="5"/>
      <c r="FY135" s="5"/>
      <c r="FZ135" s="5"/>
      <c r="GA135" s="5"/>
      <c r="GB135" s="5"/>
      <c r="GC135" s="5"/>
      <c r="GD135" s="5"/>
      <c r="GE135" s="5"/>
      <c r="GF135" s="5"/>
      <c r="GG135" s="5"/>
      <c r="GH135" s="5"/>
      <c r="GI135" s="5"/>
      <c r="GJ135" s="5"/>
      <c r="GK135" s="5"/>
      <c r="GL135" s="5"/>
      <c r="GM135" s="5"/>
      <c r="GN135" s="5"/>
      <c r="GO135" s="5"/>
      <c r="GP135" s="5"/>
      <c r="GQ135" s="5"/>
      <c r="GR135" s="5"/>
      <c r="GS135" s="5"/>
      <c r="GT135" s="5"/>
      <c r="GU135" s="5"/>
      <c r="GV135" s="5"/>
      <c r="GW135" s="5"/>
      <c r="GX135" s="5"/>
      <c r="GY135" s="5"/>
      <c r="GZ135" s="5"/>
    </row>
    <row r="136" spans="5:208" ht="11.1" customHeight="1" x14ac:dyDescent="0.25">
      <c r="G136" s="363">
        <f t="shared" si="4"/>
        <v>9</v>
      </c>
      <c r="H136" s="364"/>
      <c r="I136" s="408"/>
      <c r="J136" s="408"/>
      <c r="K136" s="408"/>
      <c r="L136" s="408"/>
      <c r="M136" s="408"/>
      <c r="N136" s="408"/>
      <c r="O136" s="408"/>
      <c r="P136" s="408"/>
      <c r="Q136" s="408"/>
      <c r="R136" s="408"/>
      <c r="S136" s="408"/>
      <c r="T136" s="408"/>
      <c r="U136" s="408"/>
      <c r="V136" s="408"/>
      <c r="W136" s="408"/>
      <c r="X136" s="486"/>
      <c r="Y136" s="486"/>
      <c r="Z136" s="342"/>
      <c r="AA136" s="342"/>
      <c r="AB136" s="342"/>
      <c r="AC136" s="343"/>
      <c r="AD136" s="343"/>
      <c r="AE136" s="343"/>
      <c r="AF136" s="86"/>
      <c r="AG136" s="338"/>
      <c r="AH136" s="339"/>
      <c r="AI136" s="339"/>
      <c r="AJ136" s="339"/>
      <c r="AK136" s="339"/>
      <c r="AL136" s="339"/>
      <c r="AM136" s="339"/>
      <c r="AN136" s="339"/>
      <c r="AO136" s="339"/>
      <c r="AP136" s="339"/>
      <c r="AQ136" s="339"/>
      <c r="AR136" s="339"/>
      <c r="AS136" s="339"/>
      <c r="AT136" s="339"/>
      <c r="AU136" s="339"/>
      <c r="AV136" s="339"/>
      <c r="AW136" s="340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X136" s="5"/>
      <c r="BY136" s="5"/>
      <c r="BZ136" s="5"/>
      <c r="CA136" s="5"/>
      <c r="CD136" s="5"/>
      <c r="CE136" s="5"/>
      <c r="DM136" s="5"/>
      <c r="DN136" s="125"/>
      <c r="DO136" s="125"/>
      <c r="DP136" s="5"/>
      <c r="DQ136" s="5"/>
      <c r="DR136" s="5"/>
      <c r="DS136" s="5"/>
      <c r="DT136" s="5"/>
      <c r="DU136" s="5"/>
      <c r="DV136" s="5"/>
      <c r="DW136" s="5"/>
      <c r="DX136" s="5"/>
      <c r="DY136" s="5"/>
      <c r="DZ136" s="5"/>
      <c r="FE136" s="5"/>
      <c r="FF136" s="5"/>
      <c r="FG136" s="5"/>
      <c r="FH136" s="5"/>
      <c r="FI136" s="5"/>
      <c r="FJ136" s="5"/>
      <c r="FK136" s="5"/>
      <c r="FL136" s="5"/>
      <c r="FM136" s="5"/>
      <c r="FN136" s="5"/>
      <c r="FO136" s="5"/>
      <c r="FP136" s="5"/>
      <c r="FQ136" s="5"/>
      <c r="FR136" s="5"/>
      <c r="FS136" s="5"/>
      <c r="FT136" s="5"/>
      <c r="FU136" s="5"/>
      <c r="FV136" s="5"/>
      <c r="FW136" s="5"/>
      <c r="FX136" s="5"/>
      <c r="FY136" s="5"/>
      <c r="FZ136" s="5"/>
      <c r="GA136" s="5"/>
      <c r="GB136" s="5"/>
      <c r="GC136" s="5"/>
      <c r="GD136" s="5"/>
      <c r="GE136" s="5"/>
      <c r="GF136" s="5"/>
      <c r="GG136" s="5"/>
      <c r="GH136" s="5"/>
      <c r="GI136" s="5"/>
      <c r="GJ136" s="5"/>
      <c r="GK136" s="5"/>
      <c r="GL136" s="5"/>
      <c r="GM136" s="5"/>
      <c r="GN136" s="5"/>
      <c r="GO136" s="5"/>
      <c r="GP136" s="5"/>
      <c r="GQ136" s="5"/>
      <c r="GR136" s="5"/>
      <c r="GS136" s="5"/>
      <c r="GT136" s="5"/>
      <c r="GU136" s="5"/>
      <c r="GV136" s="5"/>
      <c r="GW136" s="5"/>
      <c r="GX136" s="5"/>
      <c r="GY136" s="5"/>
      <c r="GZ136" s="5"/>
    </row>
    <row r="137" spans="5:208" ht="11.1" customHeight="1" x14ac:dyDescent="0.25">
      <c r="G137" s="363">
        <f t="shared" si="4"/>
        <v>10</v>
      </c>
      <c r="H137" s="364"/>
      <c r="I137" s="353"/>
      <c r="J137" s="353"/>
      <c r="K137" s="353"/>
      <c r="L137" s="353"/>
      <c r="M137" s="353"/>
      <c r="N137" s="353"/>
      <c r="O137" s="353"/>
      <c r="P137" s="353"/>
      <c r="Q137" s="353"/>
      <c r="R137" s="353"/>
      <c r="S137" s="353"/>
      <c r="T137" s="353"/>
      <c r="U137" s="353"/>
      <c r="V137" s="353"/>
      <c r="W137" s="353"/>
      <c r="X137" s="354"/>
      <c r="Y137" s="354"/>
      <c r="Z137" s="355"/>
      <c r="AA137" s="355"/>
      <c r="AB137" s="355"/>
      <c r="AC137" s="356"/>
      <c r="AD137" s="356"/>
      <c r="AE137" s="356"/>
      <c r="AF137" s="86"/>
      <c r="AG137" s="338"/>
      <c r="AH137" s="339"/>
      <c r="AI137" s="339"/>
      <c r="AJ137" s="339"/>
      <c r="AK137" s="339"/>
      <c r="AL137" s="339"/>
      <c r="AM137" s="339"/>
      <c r="AN137" s="339"/>
      <c r="AO137" s="339"/>
      <c r="AP137" s="339"/>
      <c r="AQ137" s="339"/>
      <c r="AR137" s="339"/>
      <c r="AS137" s="339"/>
      <c r="AT137" s="339"/>
      <c r="AU137" s="339"/>
      <c r="AV137" s="339"/>
      <c r="AW137" s="340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X137" s="5"/>
      <c r="BY137" s="5"/>
      <c r="BZ137" s="5"/>
      <c r="CA137" s="5"/>
      <c r="DM137" s="5"/>
      <c r="DN137" s="125"/>
      <c r="DO137" s="125"/>
      <c r="FE137" s="5"/>
      <c r="FF137" s="5"/>
      <c r="FG137" s="5"/>
      <c r="FH137" s="5"/>
      <c r="FI137" s="5"/>
      <c r="FJ137" s="5"/>
      <c r="FK137" s="5"/>
      <c r="FL137" s="5"/>
      <c r="FM137" s="5"/>
      <c r="FN137" s="5"/>
      <c r="FO137" s="5"/>
      <c r="FP137" s="5"/>
      <c r="FQ137" s="5"/>
      <c r="FR137" s="5"/>
      <c r="FS137" s="5"/>
      <c r="FT137" s="5"/>
      <c r="FU137" s="5"/>
      <c r="FV137" s="5"/>
      <c r="FW137" s="5"/>
      <c r="FX137" s="5"/>
      <c r="FY137" s="5"/>
      <c r="FZ137" s="5"/>
      <c r="GA137" s="5"/>
      <c r="GB137" s="5"/>
      <c r="GC137" s="5"/>
      <c r="GD137" s="5"/>
      <c r="GE137" s="5"/>
      <c r="GF137" s="5"/>
      <c r="GG137" s="5"/>
      <c r="GH137" s="5"/>
      <c r="GI137" s="5"/>
      <c r="GJ137" s="5"/>
      <c r="GK137" s="5"/>
      <c r="GL137" s="5"/>
      <c r="GM137" s="5"/>
      <c r="GN137" s="5"/>
      <c r="GO137" s="5"/>
      <c r="GP137" s="5"/>
      <c r="GQ137" s="5"/>
      <c r="GR137" s="5"/>
      <c r="GS137" s="5"/>
      <c r="GT137" s="5"/>
      <c r="GU137" s="5"/>
      <c r="GV137" s="5"/>
      <c r="GW137" s="5"/>
      <c r="GX137" s="5"/>
      <c r="GY137" s="5"/>
      <c r="GZ137" s="5"/>
    </row>
    <row r="138" spans="5:208" ht="11.1" customHeight="1" x14ac:dyDescent="0.25">
      <c r="G138" s="361" t="s">
        <v>200</v>
      </c>
      <c r="H138" s="361"/>
      <c r="I138" s="362"/>
      <c r="J138" s="362"/>
      <c r="K138" s="362"/>
      <c r="L138" s="362"/>
      <c r="M138" s="362"/>
      <c r="N138" s="362"/>
      <c r="O138" s="362"/>
      <c r="P138" s="362"/>
      <c r="Q138" s="362"/>
      <c r="R138" s="362"/>
      <c r="S138" s="362"/>
      <c r="T138" s="362"/>
      <c r="U138" s="362"/>
      <c r="V138" s="362"/>
      <c r="W138" s="362"/>
      <c r="X138" s="362"/>
      <c r="Y138" s="362"/>
      <c r="Z138" s="335">
        <f>SUM(Z128:AE137)</f>
        <v>0</v>
      </c>
      <c r="AA138" s="335"/>
      <c r="AB138" s="335"/>
      <c r="AC138" s="336"/>
      <c r="AD138" s="336"/>
      <c r="AE138" s="336"/>
      <c r="AF138" s="86"/>
      <c r="AG138" s="341"/>
      <c r="AH138" s="231"/>
      <c r="AI138" s="231"/>
      <c r="AJ138" s="231"/>
      <c r="AK138" s="231"/>
      <c r="AL138" s="231"/>
      <c r="AM138" s="231"/>
      <c r="AN138" s="231"/>
      <c r="AO138" s="231"/>
      <c r="AP138" s="231"/>
      <c r="AQ138" s="231"/>
      <c r="AR138" s="231"/>
      <c r="AS138" s="231"/>
      <c r="AT138" s="231"/>
      <c r="AU138" s="231"/>
      <c r="AV138" s="231"/>
      <c r="AW138" s="232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X138" s="5"/>
      <c r="BY138" s="5"/>
      <c r="BZ138" s="5"/>
      <c r="CA138" s="5"/>
      <c r="DM138" s="5"/>
      <c r="FE138" s="5"/>
      <c r="FF138" s="5"/>
      <c r="FG138" s="5"/>
      <c r="FH138" s="5"/>
      <c r="FI138" s="5"/>
      <c r="FJ138" s="5"/>
      <c r="FK138" s="5"/>
      <c r="FL138" s="5"/>
      <c r="FM138" s="5"/>
      <c r="FN138" s="5"/>
      <c r="FO138" s="5"/>
      <c r="FP138" s="5"/>
      <c r="FQ138" s="5"/>
      <c r="FR138" s="5"/>
      <c r="FS138" s="5"/>
      <c r="FT138" s="5"/>
      <c r="FU138" s="5"/>
      <c r="FV138" s="5"/>
      <c r="FW138" s="5"/>
      <c r="FX138" s="5"/>
      <c r="FY138" s="5"/>
      <c r="FZ138" s="5"/>
      <c r="GA138" s="5"/>
      <c r="GB138" s="5"/>
      <c r="GC138" s="5"/>
      <c r="GD138" s="5"/>
      <c r="GE138" s="5"/>
      <c r="GF138" s="5"/>
      <c r="GG138" s="5"/>
      <c r="GH138" s="5"/>
      <c r="GI138" s="5"/>
      <c r="GJ138" s="5"/>
      <c r="GK138" s="5"/>
      <c r="GL138" s="5"/>
      <c r="GM138" s="5"/>
      <c r="GN138" s="5"/>
      <c r="GO138" s="5"/>
      <c r="GP138" s="5"/>
      <c r="GQ138" s="5"/>
      <c r="GR138" s="5"/>
      <c r="GS138" s="5"/>
      <c r="GT138" s="5"/>
      <c r="GU138" s="5"/>
      <c r="GV138" s="5"/>
      <c r="GW138" s="5"/>
      <c r="GX138" s="5"/>
      <c r="GY138" s="5"/>
      <c r="GZ138" s="5"/>
    </row>
    <row r="139" spans="5:208" ht="3.9" customHeight="1" x14ac:dyDescent="0.25">
      <c r="E139" s="9" t="s">
        <v>9</v>
      </c>
      <c r="F139" s="54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  <c r="AL139" s="11"/>
      <c r="AM139" s="11"/>
      <c r="AN139" s="11"/>
      <c r="AO139" s="11"/>
      <c r="AP139" s="11"/>
      <c r="AQ139" s="11"/>
      <c r="AR139" s="11"/>
      <c r="AS139" s="11"/>
      <c r="AT139" s="11"/>
      <c r="AU139" s="11"/>
      <c r="AV139" s="11"/>
      <c r="AW139" s="11"/>
      <c r="AY139" s="11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DM139" s="5"/>
      <c r="FE139" s="5"/>
      <c r="FF139" s="5"/>
      <c r="FG139" s="5"/>
      <c r="FH139" s="5"/>
      <c r="FI139" s="5"/>
      <c r="FJ139" s="5"/>
      <c r="FK139" s="5"/>
      <c r="FL139" s="5"/>
      <c r="FM139" s="5"/>
      <c r="FN139" s="5"/>
      <c r="FO139" s="5"/>
      <c r="FP139" s="5"/>
      <c r="FQ139" s="5"/>
      <c r="FR139" s="5"/>
      <c r="FS139" s="5"/>
      <c r="FT139" s="5"/>
      <c r="FU139" s="5"/>
      <c r="FV139" s="5"/>
      <c r="FW139" s="5"/>
      <c r="FX139" s="5"/>
      <c r="FY139" s="5"/>
      <c r="FZ139" s="5"/>
      <c r="GA139" s="5"/>
      <c r="GB139" s="5"/>
      <c r="GC139" s="5"/>
      <c r="GD139" s="5"/>
      <c r="GE139" s="5"/>
      <c r="GF139" s="5"/>
      <c r="GG139" s="5"/>
      <c r="GH139" s="5"/>
      <c r="GI139" s="5"/>
      <c r="GJ139" s="5"/>
      <c r="GK139" s="5"/>
      <c r="GL139" s="5"/>
      <c r="GM139" s="5"/>
      <c r="GN139" s="5"/>
      <c r="GO139" s="5"/>
      <c r="GP139" s="5"/>
      <c r="GQ139" s="5"/>
      <c r="GR139" s="5"/>
      <c r="GS139" s="5"/>
      <c r="GT139" s="5"/>
      <c r="GU139" s="5"/>
      <c r="GV139" s="5"/>
      <c r="GW139" s="5"/>
      <c r="GX139" s="5"/>
      <c r="GY139" s="5"/>
      <c r="GZ139" s="5"/>
    </row>
    <row r="140" spans="5:208" ht="11.1" customHeight="1" x14ac:dyDescent="0.25">
      <c r="G140" s="288" t="s">
        <v>206</v>
      </c>
      <c r="H140" s="289"/>
      <c r="I140" s="289"/>
      <c r="J140" s="289"/>
      <c r="K140" s="289"/>
      <c r="L140" s="289"/>
      <c r="M140" s="289"/>
      <c r="N140" s="289"/>
      <c r="O140" s="289"/>
      <c r="P140" s="289"/>
      <c r="Q140" s="289"/>
      <c r="R140" s="289"/>
      <c r="S140" s="289"/>
      <c r="T140" s="289"/>
      <c r="U140" s="289"/>
      <c r="V140" s="289"/>
      <c r="W140" s="289"/>
      <c r="X140" s="289"/>
      <c r="Y140" s="289"/>
      <c r="Z140" s="289"/>
      <c r="AA140" s="289"/>
      <c r="AB140" s="289"/>
      <c r="AC140" s="289"/>
      <c r="AD140" s="289"/>
      <c r="AE140" s="289"/>
      <c r="AF140" s="289"/>
      <c r="AG140" s="289"/>
      <c r="AH140" s="289"/>
      <c r="AI140" s="290"/>
      <c r="AK140" s="349" t="s">
        <v>61</v>
      </c>
      <c r="AL140" s="350"/>
      <c r="AM140" s="350"/>
      <c r="AN140" s="350"/>
      <c r="AO140" s="350"/>
      <c r="AP140" s="350"/>
      <c r="AQ140" s="350"/>
      <c r="AR140" s="350"/>
      <c r="AS140" s="350"/>
      <c r="AT140" s="350"/>
      <c r="AU140" s="350"/>
      <c r="AV140" s="350"/>
      <c r="AW140" s="351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DM140" s="5"/>
      <c r="FE140" s="5"/>
      <c r="FF140" s="5"/>
      <c r="FG140" s="5"/>
      <c r="FH140" s="5"/>
      <c r="FI140" s="5"/>
      <c r="FJ140" s="5"/>
      <c r="FK140" s="5"/>
      <c r="FL140" s="5"/>
      <c r="FM140" s="5"/>
      <c r="FN140" s="5"/>
      <c r="FO140" s="5"/>
      <c r="FP140" s="5"/>
      <c r="FQ140" s="5"/>
      <c r="FR140" s="5"/>
      <c r="FS140" s="5"/>
      <c r="FT140" s="5"/>
      <c r="FU140" s="5"/>
      <c r="FV140" s="5"/>
      <c r="FW140" s="5"/>
      <c r="FX140" s="5"/>
      <c r="FY140" s="5"/>
      <c r="FZ140" s="5"/>
      <c r="GA140" s="5"/>
      <c r="GB140" s="5"/>
      <c r="GC140" s="5"/>
      <c r="GD140" s="5"/>
      <c r="GE140" s="5"/>
      <c r="GF140" s="5"/>
      <c r="GG140" s="5"/>
      <c r="GH140" s="5"/>
      <c r="GI140" s="5"/>
      <c r="GJ140" s="5"/>
      <c r="GK140" s="5"/>
      <c r="GL140" s="5"/>
      <c r="GM140" s="5"/>
      <c r="GN140" s="5"/>
      <c r="GO140" s="5"/>
      <c r="GP140" s="5"/>
      <c r="GQ140" s="5"/>
      <c r="GR140" s="5"/>
      <c r="GS140" s="5"/>
      <c r="GT140" s="5"/>
      <c r="GU140" s="5"/>
      <c r="GV140" s="5"/>
      <c r="GW140" s="5"/>
      <c r="GX140" s="5"/>
      <c r="GY140" s="5"/>
      <c r="GZ140" s="5"/>
    </row>
    <row r="141" spans="5:208" ht="11.1" customHeight="1" x14ac:dyDescent="0.25">
      <c r="G141" s="212" t="s">
        <v>207</v>
      </c>
      <c r="H141" s="213"/>
      <c r="I141" s="213"/>
      <c r="J141" s="213"/>
      <c r="K141" s="213"/>
      <c r="L141" s="213"/>
      <c r="M141" s="213"/>
      <c r="N141" s="213"/>
      <c r="O141" s="213"/>
      <c r="P141" s="213"/>
      <c r="Q141" s="213"/>
      <c r="R141" s="213"/>
      <c r="S141" s="213"/>
      <c r="T141" s="213"/>
      <c r="U141" s="213"/>
      <c r="V141" s="213"/>
      <c r="W141" s="213"/>
      <c r="X141" s="213"/>
      <c r="Y141" s="213"/>
      <c r="Z141" s="213"/>
      <c r="AA141" s="213"/>
      <c r="AB141" s="213"/>
      <c r="AC141" s="213"/>
      <c r="AD141" s="213"/>
      <c r="AE141" s="213"/>
      <c r="AF141" s="213"/>
      <c r="AG141" s="213"/>
      <c r="AH141" s="213"/>
      <c r="AI141" s="214"/>
      <c r="AK141" s="334" t="s">
        <v>264</v>
      </c>
      <c r="AL141" s="237"/>
      <c r="AM141" s="237"/>
      <c r="AN141" s="237"/>
      <c r="AO141" s="237"/>
      <c r="AP141" s="237"/>
      <c r="AQ141" s="237"/>
      <c r="AR141" s="352"/>
      <c r="AS141" s="344" t="str">
        <f>IF(MAX(AO144:AO168)=100,24-COUNTBLANK(AM145:AM168),"")</f>
        <v/>
      </c>
      <c r="AT141" s="345"/>
      <c r="AU141" s="346" t="s">
        <v>39</v>
      </c>
      <c r="AV141" s="347"/>
      <c r="AW141" s="348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DM141" s="5"/>
      <c r="FE141" s="5"/>
      <c r="FF141" s="5"/>
      <c r="FG141" s="5"/>
      <c r="FH141" s="5"/>
      <c r="FI141" s="5"/>
      <c r="FJ141" s="5"/>
      <c r="FK141" s="5"/>
      <c r="FL141" s="5"/>
      <c r="FM141" s="5"/>
      <c r="FN141" s="5"/>
      <c r="FO141" s="5"/>
      <c r="FP141" s="5"/>
      <c r="FQ141" s="5"/>
      <c r="FR141" s="5"/>
      <c r="FS141" s="5"/>
      <c r="FT141" s="5"/>
      <c r="FU141" s="5"/>
      <c r="FV141" s="5"/>
      <c r="FW141" s="5"/>
      <c r="FX141" s="5"/>
      <c r="FY141" s="5"/>
      <c r="FZ141" s="5"/>
      <c r="GA141" s="5"/>
      <c r="GB141" s="5"/>
      <c r="GC141" s="5"/>
      <c r="GD141" s="5"/>
      <c r="GE141" s="5"/>
      <c r="GF141" s="5"/>
      <c r="GG141" s="5"/>
      <c r="GH141" s="5"/>
      <c r="GI141" s="5"/>
      <c r="GJ141" s="5"/>
      <c r="GK141" s="5"/>
      <c r="GL141" s="5"/>
      <c r="GM141" s="5"/>
      <c r="GN141" s="5"/>
      <c r="GO141" s="5"/>
      <c r="GP141" s="5"/>
      <c r="GQ141" s="5"/>
      <c r="GR141" s="5"/>
      <c r="GS141" s="5"/>
      <c r="GT141" s="5"/>
      <c r="GU141" s="5"/>
      <c r="GV141" s="5"/>
      <c r="GW141" s="5"/>
      <c r="GX141" s="5"/>
      <c r="GY141" s="5"/>
      <c r="GZ141" s="5"/>
    </row>
    <row r="142" spans="5:208" ht="11.1" customHeight="1" x14ac:dyDescent="0.25">
      <c r="F142" s="54"/>
      <c r="G142" s="294" t="s">
        <v>270</v>
      </c>
      <c r="H142" s="295"/>
      <c r="I142" s="295"/>
      <c r="J142" s="295"/>
      <c r="K142" s="295"/>
      <c r="L142" s="295"/>
      <c r="M142" s="295"/>
      <c r="N142" s="295"/>
      <c r="O142" s="295"/>
      <c r="P142" s="295"/>
      <c r="Q142" s="295"/>
      <c r="R142" s="295"/>
      <c r="S142" s="295"/>
      <c r="T142" s="295"/>
      <c r="U142" s="295"/>
      <c r="V142" s="295"/>
      <c r="W142" s="295"/>
      <c r="X142" s="295"/>
      <c r="Y142" s="295"/>
      <c r="Z142" s="295"/>
      <c r="AA142" s="295"/>
      <c r="AB142" s="295"/>
      <c r="AC142" s="295"/>
      <c r="AD142" s="295"/>
      <c r="AE142" s="295"/>
      <c r="AF142" s="295"/>
      <c r="AG142" s="295"/>
      <c r="AH142" s="295"/>
      <c r="AI142" s="296"/>
      <c r="AK142" s="357" t="s">
        <v>211</v>
      </c>
      <c r="AL142" s="358"/>
      <c r="AM142" s="357" t="s">
        <v>265</v>
      </c>
      <c r="AN142" s="358"/>
      <c r="AO142" s="357" t="s">
        <v>267</v>
      </c>
      <c r="AP142" s="358"/>
      <c r="AQ142" s="367" t="s">
        <v>266</v>
      </c>
      <c r="AR142" s="368"/>
      <c r="AS142" s="368"/>
      <c r="AT142" s="368"/>
      <c r="AU142" s="368"/>
      <c r="AV142" s="368"/>
      <c r="AW142" s="369"/>
      <c r="AY142" s="11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DM142" s="5"/>
      <c r="FE142" s="5"/>
      <c r="FF142" s="5"/>
      <c r="FG142" s="5"/>
      <c r="FH142" s="5"/>
      <c r="FI142" s="5"/>
      <c r="FJ142" s="5"/>
      <c r="FK142" s="5"/>
      <c r="FL142" s="5"/>
      <c r="FM142" s="5"/>
      <c r="FN142" s="5"/>
      <c r="FO142" s="5"/>
      <c r="FP142" s="5"/>
      <c r="FQ142" s="5"/>
      <c r="FR142" s="5"/>
      <c r="FS142" s="5"/>
      <c r="FT142" s="5"/>
      <c r="FU142" s="5"/>
      <c r="FV142" s="5"/>
      <c r="FW142" s="5"/>
      <c r="FX142" s="5"/>
      <c r="FY142" s="5"/>
      <c r="FZ142" s="5"/>
      <c r="GA142" s="5"/>
      <c r="GB142" s="5"/>
      <c r="GC142" s="5"/>
      <c r="GD142" s="5"/>
      <c r="GE142" s="5"/>
      <c r="GF142" s="5"/>
      <c r="GG142" s="5"/>
      <c r="GH142" s="5"/>
      <c r="GI142" s="5"/>
      <c r="GJ142" s="5"/>
      <c r="GK142" s="5"/>
      <c r="GL142" s="5"/>
      <c r="GM142" s="5"/>
      <c r="GN142" s="5"/>
      <c r="GO142" s="5"/>
      <c r="GP142" s="5"/>
      <c r="GQ142" s="5"/>
      <c r="GR142" s="5"/>
      <c r="GS142" s="5"/>
      <c r="GT142" s="5"/>
      <c r="GU142" s="5"/>
      <c r="GV142" s="5"/>
      <c r="GW142" s="5"/>
      <c r="GX142" s="5"/>
      <c r="GY142" s="5"/>
      <c r="GZ142" s="5"/>
    </row>
    <row r="143" spans="5:208" ht="11.1" customHeight="1" x14ac:dyDescent="0.25">
      <c r="F143" s="54"/>
      <c r="G143" s="297"/>
      <c r="H143" s="298"/>
      <c r="I143" s="298"/>
      <c r="J143" s="298"/>
      <c r="K143" s="298"/>
      <c r="L143" s="298"/>
      <c r="M143" s="298"/>
      <c r="N143" s="298"/>
      <c r="O143" s="298"/>
      <c r="P143" s="298"/>
      <c r="Q143" s="298"/>
      <c r="R143" s="298"/>
      <c r="S143" s="298"/>
      <c r="T143" s="298"/>
      <c r="U143" s="298"/>
      <c r="V143" s="298"/>
      <c r="W143" s="298"/>
      <c r="X143" s="298"/>
      <c r="Y143" s="298"/>
      <c r="Z143" s="298"/>
      <c r="AA143" s="298"/>
      <c r="AB143" s="298"/>
      <c r="AC143" s="298"/>
      <c r="AD143" s="298"/>
      <c r="AE143" s="298"/>
      <c r="AF143" s="298"/>
      <c r="AG143" s="298"/>
      <c r="AH143" s="298"/>
      <c r="AI143" s="299"/>
      <c r="AK143" s="359"/>
      <c r="AL143" s="360"/>
      <c r="AM143" s="359"/>
      <c r="AN143" s="360"/>
      <c r="AO143" s="359"/>
      <c r="AP143" s="360"/>
      <c r="AQ143" s="359"/>
      <c r="AR143" s="370"/>
      <c r="AS143" s="370"/>
      <c r="AT143" s="370"/>
      <c r="AU143" s="370"/>
      <c r="AV143" s="370"/>
      <c r="AW143" s="360"/>
      <c r="AX143" s="99"/>
      <c r="AY143" s="11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DM143" s="5"/>
      <c r="FE143" s="5"/>
      <c r="FF143" s="5"/>
      <c r="FG143" s="5"/>
      <c r="FH143" s="5"/>
      <c r="FI143" s="5"/>
      <c r="FJ143" s="5"/>
      <c r="FK143" s="5"/>
      <c r="FL143" s="5"/>
      <c r="FM143" s="5"/>
      <c r="FN143" s="5"/>
      <c r="FO143" s="5"/>
      <c r="FP143" s="5"/>
      <c r="FQ143" s="5"/>
      <c r="FR143" s="5"/>
      <c r="FS143" s="5"/>
      <c r="FT143" s="5"/>
      <c r="FU143" s="5"/>
      <c r="FV143" s="5"/>
      <c r="FW143" s="5"/>
      <c r="FX143" s="5"/>
      <c r="FY143" s="5"/>
      <c r="FZ143" s="5"/>
      <c r="GA143" s="5"/>
      <c r="GB143" s="5"/>
      <c r="GC143" s="5"/>
      <c r="GD143" s="5"/>
      <c r="GE143" s="5"/>
      <c r="GF143" s="5"/>
      <c r="GG143" s="5"/>
      <c r="GH143" s="5"/>
      <c r="GI143" s="5"/>
      <c r="GJ143" s="5"/>
      <c r="GK143" s="5"/>
      <c r="GL143" s="5"/>
      <c r="GM143" s="5"/>
      <c r="GN143" s="5"/>
      <c r="GO143" s="5"/>
      <c r="GP143" s="5"/>
      <c r="GQ143" s="5"/>
      <c r="GR143" s="5"/>
      <c r="GS143" s="5"/>
      <c r="GT143" s="5"/>
      <c r="GU143" s="5"/>
      <c r="GV143" s="5"/>
      <c r="GW143" s="5"/>
      <c r="GX143" s="5"/>
      <c r="GY143" s="5"/>
      <c r="GZ143" s="5"/>
    </row>
    <row r="144" spans="5:208" ht="11.1" customHeight="1" x14ac:dyDescent="0.25">
      <c r="F144" s="54"/>
      <c r="G144" s="297"/>
      <c r="H144" s="298"/>
      <c r="I144" s="298"/>
      <c r="J144" s="298"/>
      <c r="K144" s="298"/>
      <c r="L144" s="298"/>
      <c r="M144" s="298"/>
      <c r="N144" s="298"/>
      <c r="O144" s="298"/>
      <c r="P144" s="298"/>
      <c r="Q144" s="298"/>
      <c r="R144" s="298"/>
      <c r="S144" s="298"/>
      <c r="T144" s="298"/>
      <c r="U144" s="298"/>
      <c r="V144" s="298"/>
      <c r="W144" s="298"/>
      <c r="X144" s="298"/>
      <c r="Y144" s="298"/>
      <c r="Z144" s="298"/>
      <c r="AA144" s="298"/>
      <c r="AB144" s="298"/>
      <c r="AC144" s="298"/>
      <c r="AD144" s="298"/>
      <c r="AE144" s="298"/>
      <c r="AF144" s="298"/>
      <c r="AG144" s="298"/>
      <c r="AH144" s="298"/>
      <c r="AI144" s="299"/>
      <c r="AK144" s="365" t="s">
        <v>268</v>
      </c>
      <c r="AL144" s="366"/>
      <c r="AM144" s="279"/>
      <c r="AN144" s="280"/>
      <c r="AO144" s="277">
        <f>IF(AM144=0,0,AM144+AO143)</f>
        <v>0</v>
      </c>
      <c r="AP144" s="278"/>
      <c r="AQ144" s="269">
        <f t="shared" ref="AQ144:AQ168" si="5">IF(AM144=0,0,AO144*$AP$130/100)</f>
        <v>0</v>
      </c>
      <c r="AR144" s="270"/>
      <c r="AS144" s="270"/>
      <c r="AT144" s="270"/>
      <c r="AU144" s="270"/>
      <c r="AV144" s="270"/>
      <c r="AW144" s="271"/>
      <c r="AY144" s="11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DM144" s="5"/>
      <c r="FE144" s="5"/>
      <c r="FF144" s="5"/>
      <c r="FG144" s="5"/>
      <c r="FH144" s="5"/>
      <c r="FI144" s="5"/>
      <c r="FJ144" s="5"/>
      <c r="FK144" s="5"/>
      <c r="FL144" s="5"/>
      <c r="FM144" s="5"/>
      <c r="FN144" s="5"/>
      <c r="FO144" s="5"/>
      <c r="FP144" s="5"/>
      <c r="FQ144" s="5"/>
      <c r="FR144" s="5"/>
      <c r="FS144" s="5"/>
      <c r="FT144" s="5"/>
      <c r="FU144" s="5"/>
      <c r="FV144" s="5"/>
      <c r="FW144" s="5"/>
      <c r="FX144" s="5"/>
      <c r="FY144" s="5"/>
      <c r="FZ144" s="5"/>
      <c r="GA144" s="5"/>
      <c r="GB144" s="5"/>
      <c r="GC144" s="5"/>
      <c r="GD144" s="5"/>
      <c r="GE144" s="5"/>
      <c r="GF144" s="5"/>
      <c r="GG144" s="5"/>
      <c r="GH144" s="5"/>
      <c r="GI144" s="5"/>
      <c r="GJ144" s="5"/>
      <c r="GK144" s="5"/>
      <c r="GL144" s="5"/>
      <c r="GM144" s="5"/>
      <c r="GN144" s="5"/>
      <c r="GO144" s="5"/>
      <c r="GP144" s="5"/>
      <c r="GQ144" s="5"/>
      <c r="GR144" s="5"/>
      <c r="GS144" s="5"/>
      <c r="GT144" s="5"/>
      <c r="GU144" s="5"/>
      <c r="GV144" s="5"/>
      <c r="GW144" s="5"/>
      <c r="GX144" s="5"/>
      <c r="GY144" s="5"/>
      <c r="GZ144" s="5"/>
    </row>
    <row r="145" spans="6:208" ht="11.1" customHeight="1" x14ac:dyDescent="0.25">
      <c r="F145" s="54"/>
      <c r="G145" s="297"/>
      <c r="H145" s="298"/>
      <c r="I145" s="298"/>
      <c r="J145" s="298"/>
      <c r="K145" s="298"/>
      <c r="L145" s="298"/>
      <c r="M145" s="298"/>
      <c r="N145" s="298"/>
      <c r="O145" s="298"/>
      <c r="P145" s="298"/>
      <c r="Q145" s="298"/>
      <c r="R145" s="298"/>
      <c r="S145" s="298"/>
      <c r="T145" s="298"/>
      <c r="U145" s="298"/>
      <c r="V145" s="298"/>
      <c r="W145" s="298"/>
      <c r="X145" s="298"/>
      <c r="Y145" s="298"/>
      <c r="Z145" s="298"/>
      <c r="AA145" s="298"/>
      <c r="AB145" s="298"/>
      <c r="AC145" s="298"/>
      <c r="AD145" s="298"/>
      <c r="AE145" s="298"/>
      <c r="AF145" s="298"/>
      <c r="AG145" s="298"/>
      <c r="AH145" s="298"/>
      <c r="AI145" s="299"/>
      <c r="AK145" s="281">
        <v>1</v>
      </c>
      <c r="AL145" s="282"/>
      <c r="AM145" s="279"/>
      <c r="AN145" s="280"/>
      <c r="AO145" s="277">
        <f>AM145+AO144</f>
        <v>0</v>
      </c>
      <c r="AP145" s="278"/>
      <c r="AQ145" s="269">
        <f t="shared" si="5"/>
        <v>0</v>
      </c>
      <c r="AR145" s="270"/>
      <c r="AS145" s="270"/>
      <c r="AT145" s="270"/>
      <c r="AU145" s="270"/>
      <c r="AV145" s="270"/>
      <c r="AW145" s="271"/>
      <c r="AY145" s="11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DM145" s="5"/>
      <c r="FE145" s="5"/>
      <c r="FF145" s="5"/>
      <c r="FG145" s="5"/>
      <c r="FH145" s="5"/>
      <c r="FI145" s="5"/>
      <c r="FJ145" s="5"/>
      <c r="FK145" s="5"/>
      <c r="FL145" s="5"/>
      <c r="FM145" s="5"/>
      <c r="FN145" s="5"/>
      <c r="FO145" s="5"/>
      <c r="FP145" s="5"/>
      <c r="FQ145" s="5"/>
      <c r="FR145" s="5"/>
      <c r="FS145" s="5"/>
      <c r="FT145" s="5"/>
      <c r="FU145" s="5"/>
      <c r="FV145" s="5"/>
      <c r="FW145" s="5"/>
      <c r="FX145" s="5"/>
      <c r="FY145" s="5"/>
      <c r="FZ145" s="5"/>
      <c r="GA145" s="5"/>
      <c r="GB145" s="5"/>
      <c r="GC145" s="5"/>
      <c r="GD145" s="5"/>
      <c r="GE145" s="5"/>
      <c r="GF145" s="5"/>
      <c r="GG145" s="5"/>
      <c r="GH145" s="5"/>
      <c r="GI145" s="5"/>
      <c r="GJ145" s="5"/>
      <c r="GK145" s="5"/>
      <c r="GL145" s="5"/>
      <c r="GM145" s="5"/>
      <c r="GN145" s="5"/>
      <c r="GO145" s="5"/>
      <c r="GP145" s="5"/>
      <c r="GQ145" s="5"/>
      <c r="GR145" s="5"/>
      <c r="GS145" s="5"/>
      <c r="GT145" s="5"/>
      <c r="GU145" s="5"/>
      <c r="GV145" s="5"/>
      <c r="GW145" s="5"/>
      <c r="GX145" s="5"/>
      <c r="GY145" s="5"/>
      <c r="GZ145" s="5"/>
    </row>
    <row r="146" spans="6:208" ht="11.1" customHeight="1" x14ac:dyDescent="0.25">
      <c r="F146" s="54"/>
      <c r="G146" s="297"/>
      <c r="H146" s="298"/>
      <c r="I146" s="298"/>
      <c r="J146" s="298"/>
      <c r="K146" s="298"/>
      <c r="L146" s="298"/>
      <c r="M146" s="298"/>
      <c r="N146" s="298"/>
      <c r="O146" s="298"/>
      <c r="P146" s="298"/>
      <c r="Q146" s="298"/>
      <c r="R146" s="298"/>
      <c r="S146" s="298"/>
      <c r="T146" s="298"/>
      <c r="U146" s="298"/>
      <c r="V146" s="298"/>
      <c r="W146" s="298"/>
      <c r="X146" s="298"/>
      <c r="Y146" s="298"/>
      <c r="Z146" s="298"/>
      <c r="AA146" s="298"/>
      <c r="AB146" s="298"/>
      <c r="AC146" s="298"/>
      <c r="AD146" s="298"/>
      <c r="AE146" s="298"/>
      <c r="AF146" s="298"/>
      <c r="AG146" s="298"/>
      <c r="AH146" s="298"/>
      <c r="AI146" s="299"/>
      <c r="AK146" s="281">
        <v>2</v>
      </c>
      <c r="AL146" s="282"/>
      <c r="AM146" s="279"/>
      <c r="AN146" s="280"/>
      <c r="AO146" s="277">
        <f t="shared" ref="AO146:AO168" si="6">AM146+AO145</f>
        <v>0</v>
      </c>
      <c r="AP146" s="278"/>
      <c r="AQ146" s="269">
        <f t="shared" si="5"/>
        <v>0</v>
      </c>
      <c r="AR146" s="270"/>
      <c r="AS146" s="270"/>
      <c r="AT146" s="270"/>
      <c r="AU146" s="270"/>
      <c r="AV146" s="270"/>
      <c r="AW146" s="271"/>
      <c r="AY146" s="11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DM146" s="5"/>
      <c r="FE146" s="5"/>
      <c r="FF146" s="5"/>
      <c r="FG146" s="5"/>
      <c r="FH146" s="5"/>
      <c r="FI146" s="5"/>
      <c r="FJ146" s="5"/>
      <c r="FK146" s="5"/>
      <c r="FL146" s="5"/>
      <c r="FM146" s="5"/>
      <c r="FN146" s="5"/>
      <c r="FO146" s="5"/>
      <c r="FP146" s="5"/>
      <c r="FQ146" s="5"/>
      <c r="FR146" s="5"/>
      <c r="FS146" s="5"/>
      <c r="FT146" s="5"/>
      <c r="FU146" s="5"/>
      <c r="FV146" s="5"/>
      <c r="FW146" s="5"/>
      <c r="FX146" s="5"/>
      <c r="FY146" s="5"/>
      <c r="FZ146" s="5"/>
      <c r="GA146" s="5"/>
      <c r="GB146" s="5"/>
      <c r="GC146" s="5"/>
      <c r="GD146" s="5"/>
      <c r="GE146" s="5"/>
      <c r="GF146" s="5"/>
      <c r="GG146" s="5"/>
      <c r="GH146" s="5"/>
      <c r="GI146" s="5"/>
      <c r="GJ146" s="5"/>
      <c r="GK146" s="5"/>
      <c r="GL146" s="5"/>
      <c r="GM146" s="5"/>
      <c r="GN146" s="5"/>
      <c r="GO146" s="5"/>
      <c r="GP146" s="5"/>
      <c r="GQ146" s="5"/>
      <c r="GR146" s="5"/>
      <c r="GS146" s="5"/>
      <c r="GT146" s="5"/>
      <c r="GU146" s="5"/>
      <c r="GV146" s="5"/>
      <c r="GW146" s="5"/>
      <c r="GX146" s="5"/>
      <c r="GY146" s="5"/>
      <c r="GZ146" s="5"/>
    </row>
    <row r="147" spans="6:208" ht="11.1" customHeight="1" x14ac:dyDescent="0.25">
      <c r="F147" s="54"/>
      <c r="G147" s="297"/>
      <c r="H147" s="298"/>
      <c r="I147" s="298"/>
      <c r="J147" s="298"/>
      <c r="K147" s="298"/>
      <c r="L147" s="298"/>
      <c r="M147" s="298"/>
      <c r="N147" s="298"/>
      <c r="O147" s="298"/>
      <c r="P147" s="298"/>
      <c r="Q147" s="298"/>
      <c r="R147" s="298"/>
      <c r="S147" s="298"/>
      <c r="T147" s="298"/>
      <c r="U147" s="298"/>
      <c r="V147" s="298"/>
      <c r="W147" s="298"/>
      <c r="X147" s="298"/>
      <c r="Y147" s="298"/>
      <c r="Z147" s="298"/>
      <c r="AA147" s="298"/>
      <c r="AB147" s="298"/>
      <c r="AC147" s="298"/>
      <c r="AD147" s="298"/>
      <c r="AE147" s="298"/>
      <c r="AF147" s="298"/>
      <c r="AG147" s="298"/>
      <c r="AH147" s="298"/>
      <c r="AI147" s="299"/>
      <c r="AK147" s="281">
        <v>3</v>
      </c>
      <c r="AL147" s="282"/>
      <c r="AM147" s="279"/>
      <c r="AN147" s="280"/>
      <c r="AO147" s="277">
        <f t="shared" si="6"/>
        <v>0</v>
      </c>
      <c r="AP147" s="278"/>
      <c r="AQ147" s="269">
        <f t="shared" si="5"/>
        <v>0</v>
      </c>
      <c r="AR147" s="270"/>
      <c r="AS147" s="270"/>
      <c r="AT147" s="270"/>
      <c r="AU147" s="270"/>
      <c r="AV147" s="270"/>
      <c r="AW147" s="271"/>
      <c r="AY147" s="11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DM147" s="5"/>
      <c r="FE147" s="5"/>
      <c r="FF147" s="5"/>
      <c r="FG147" s="5"/>
      <c r="FH147" s="5"/>
      <c r="FI147" s="5"/>
      <c r="FJ147" s="5"/>
      <c r="FK147" s="5"/>
      <c r="FL147" s="5"/>
      <c r="FM147" s="5"/>
      <c r="FN147" s="5"/>
      <c r="FO147" s="5"/>
      <c r="FP147" s="5"/>
      <c r="FQ147" s="5"/>
      <c r="FR147" s="5"/>
      <c r="FS147" s="5"/>
      <c r="FT147" s="5"/>
      <c r="FU147" s="5"/>
      <c r="FV147" s="5"/>
      <c r="FW147" s="5"/>
      <c r="FX147" s="5"/>
      <c r="FY147" s="5"/>
      <c r="FZ147" s="5"/>
      <c r="GA147" s="5"/>
      <c r="GB147" s="5"/>
      <c r="GC147" s="5"/>
      <c r="GD147" s="5"/>
      <c r="GE147" s="5"/>
      <c r="GF147" s="5"/>
      <c r="GG147" s="5"/>
      <c r="GH147" s="5"/>
      <c r="GI147" s="5"/>
      <c r="GJ147" s="5"/>
      <c r="GK147" s="5"/>
      <c r="GL147" s="5"/>
      <c r="GM147" s="5"/>
      <c r="GN147" s="5"/>
      <c r="GO147" s="5"/>
      <c r="GP147" s="5"/>
      <c r="GQ147" s="5"/>
      <c r="GR147" s="5"/>
      <c r="GS147" s="5"/>
      <c r="GT147" s="5"/>
      <c r="GU147" s="5"/>
      <c r="GV147" s="5"/>
      <c r="GW147" s="5"/>
      <c r="GX147" s="5"/>
      <c r="GY147" s="5"/>
      <c r="GZ147" s="5"/>
    </row>
    <row r="148" spans="6:208" ht="11.1" customHeight="1" x14ac:dyDescent="0.25">
      <c r="F148" s="54"/>
      <c r="G148" s="297"/>
      <c r="H148" s="298"/>
      <c r="I148" s="298"/>
      <c r="J148" s="298"/>
      <c r="K148" s="298"/>
      <c r="L148" s="298"/>
      <c r="M148" s="298"/>
      <c r="N148" s="298"/>
      <c r="O148" s="298"/>
      <c r="P148" s="298"/>
      <c r="Q148" s="298"/>
      <c r="R148" s="298"/>
      <c r="S148" s="298"/>
      <c r="T148" s="298"/>
      <c r="U148" s="298"/>
      <c r="V148" s="298"/>
      <c r="W148" s="298"/>
      <c r="X148" s="298"/>
      <c r="Y148" s="298"/>
      <c r="Z148" s="298"/>
      <c r="AA148" s="298"/>
      <c r="AB148" s="298"/>
      <c r="AC148" s="298"/>
      <c r="AD148" s="298"/>
      <c r="AE148" s="298"/>
      <c r="AF148" s="298"/>
      <c r="AG148" s="298"/>
      <c r="AH148" s="298"/>
      <c r="AI148" s="299"/>
      <c r="AK148" s="281">
        <v>4</v>
      </c>
      <c r="AL148" s="282"/>
      <c r="AM148" s="279"/>
      <c r="AN148" s="280"/>
      <c r="AO148" s="277">
        <f t="shared" si="6"/>
        <v>0</v>
      </c>
      <c r="AP148" s="278"/>
      <c r="AQ148" s="269">
        <f t="shared" si="5"/>
        <v>0</v>
      </c>
      <c r="AR148" s="270"/>
      <c r="AS148" s="270"/>
      <c r="AT148" s="270"/>
      <c r="AU148" s="270"/>
      <c r="AV148" s="270"/>
      <c r="AW148" s="271"/>
      <c r="AY148" s="11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DM148" s="5"/>
      <c r="FE148" s="5"/>
      <c r="FF148" s="5"/>
      <c r="FG148" s="5"/>
      <c r="FH148" s="5"/>
      <c r="FI148" s="5"/>
      <c r="FJ148" s="5"/>
      <c r="FK148" s="5"/>
      <c r="FL148" s="5"/>
      <c r="FM148" s="5"/>
      <c r="FN148" s="5"/>
      <c r="FO148" s="5"/>
      <c r="FP148" s="5"/>
      <c r="FQ148" s="5"/>
      <c r="FR148" s="5"/>
      <c r="FS148" s="5"/>
      <c r="FT148" s="5"/>
      <c r="FU148" s="5"/>
      <c r="FV148" s="5"/>
      <c r="FW148" s="5"/>
      <c r="FX148" s="5"/>
      <c r="FY148" s="5"/>
      <c r="FZ148" s="5"/>
      <c r="GA148" s="5"/>
      <c r="GB148" s="5"/>
      <c r="GC148" s="5"/>
      <c r="GD148" s="5"/>
      <c r="GE148" s="5"/>
      <c r="GF148" s="5"/>
      <c r="GG148" s="5"/>
      <c r="GH148" s="5"/>
      <c r="GI148" s="5"/>
      <c r="GJ148" s="5"/>
      <c r="GK148" s="5"/>
      <c r="GL148" s="5"/>
      <c r="GM148" s="5"/>
      <c r="GN148" s="5"/>
      <c r="GO148" s="5"/>
      <c r="GP148" s="5"/>
      <c r="GQ148" s="5"/>
      <c r="GR148" s="5"/>
      <c r="GS148" s="5"/>
      <c r="GT148" s="5"/>
      <c r="GU148" s="5"/>
      <c r="GV148" s="5"/>
      <c r="GW148" s="5"/>
      <c r="GX148" s="5"/>
      <c r="GY148" s="5"/>
      <c r="GZ148" s="5"/>
    </row>
    <row r="149" spans="6:208" ht="11.1" customHeight="1" x14ac:dyDescent="0.25">
      <c r="F149" s="54"/>
      <c r="G149" s="297"/>
      <c r="H149" s="298"/>
      <c r="I149" s="298"/>
      <c r="J149" s="298"/>
      <c r="K149" s="298"/>
      <c r="L149" s="298"/>
      <c r="M149" s="298"/>
      <c r="N149" s="298"/>
      <c r="O149" s="298"/>
      <c r="P149" s="298"/>
      <c r="Q149" s="298"/>
      <c r="R149" s="298"/>
      <c r="S149" s="298"/>
      <c r="T149" s="298"/>
      <c r="U149" s="298"/>
      <c r="V149" s="298"/>
      <c r="W149" s="298"/>
      <c r="X149" s="298"/>
      <c r="Y149" s="298"/>
      <c r="Z149" s="298"/>
      <c r="AA149" s="298"/>
      <c r="AB149" s="298"/>
      <c r="AC149" s="298"/>
      <c r="AD149" s="298"/>
      <c r="AE149" s="298"/>
      <c r="AF149" s="298"/>
      <c r="AG149" s="298"/>
      <c r="AH149" s="298"/>
      <c r="AI149" s="299"/>
      <c r="AK149" s="281">
        <v>5</v>
      </c>
      <c r="AL149" s="282"/>
      <c r="AM149" s="279"/>
      <c r="AN149" s="280"/>
      <c r="AO149" s="277">
        <f t="shared" si="6"/>
        <v>0</v>
      </c>
      <c r="AP149" s="278"/>
      <c r="AQ149" s="269">
        <f t="shared" si="5"/>
        <v>0</v>
      </c>
      <c r="AR149" s="270"/>
      <c r="AS149" s="270"/>
      <c r="AT149" s="270"/>
      <c r="AU149" s="270"/>
      <c r="AV149" s="270"/>
      <c r="AW149" s="271"/>
      <c r="AY149" s="11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DM149" s="5"/>
      <c r="EK149" s="5"/>
      <c r="EL149" s="5"/>
      <c r="EM149" s="5"/>
      <c r="EN149" s="5"/>
      <c r="EO149" s="5"/>
      <c r="EP149" s="5"/>
      <c r="EQ149" s="5"/>
      <c r="ER149" s="5"/>
      <c r="ES149" s="5"/>
      <c r="ET149" s="5"/>
      <c r="EU149" s="5"/>
      <c r="EV149" s="5"/>
      <c r="EW149" s="5"/>
      <c r="EX149" s="5"/>
      <c r="EY149" s="5"/>
      <c r="EZ149" s="5"/>
      <c r="FA149" s="5"/>
      <c r="FB149" s="5"/>
      <c r="FC149" s="5"/>
      <c r="FD149" s="5"/>
      <c r="FE149" s="5"/>
      <c r="FF149" s="5"/>
      <c r="FG149" s="5"/>
      <c r="FH149" s="5"/>
      <c r="FI149" s="5"/>
      <c r="FJ149" s="5"/>
      <c r="FK149" s="5"/>
      <c r="FL149" s="5"/>
      <c r="FM149" s="5"/>
      <c r="FN149" s="5"/>
      <c r="FO149" s="5"/>
      <c r="FP149" s="5"/>
      <c r="FQ149" s="5"/>
      <c r="FR149" s="5"/>
      <c r="FS149" s="5"/>
      <c r="FT149" s="5"/>
      <c r="FU149" s="5"/>
      <c r="FV149" s="5"/>
      <c r="FW149" s="5"/>
      <c r="FX149" s="5"/>
      <c r="FY149" s="5"/>
      <c r="FZ149" s="5"/>
      <c r="GA149" s="5"/>
      <c r="GB149" s="5"/>
      <c r="GC149" s="5"/>
      <c r="GD149" s="5"/>
      <c r="GE149" s="5"/>
      <c r="GF149" s="5"/>
      <c r="GG149" s="5"/>
      <c r="GH149" s="5"/>
      <c r="GI149" s="5"/>
      <c r="GJ149" s="5"/>
      <c r="GK149" s="5"/>
      <c r="GL149" s="5"/>
      <c r="GM149" s="5"/>
      <c r="GN149" s="5"/>
      <c r="GO149" s="5"/>
      <c r="GP149" s="5"/>
      <c r="GQ149" s="5"/>
      <c r="GR149" s="5"/>
      <c r="GS149" s="5"/>
      <c r="GT149" s="5"/>
      <c r="GU149" s="5"/>
      <c r="GV149" s="5"/>
      <c r="GW149" s="5"/>
      <c r="GX149" s="5"/>
      <c r="GY149" s="5"/>
      <c r="GZ149" s="5"/>
    </row>
    <row r="150" spans="6:208" ht="11.1" customHeight="1" x14ac:dyDescent="0.25">
      <c r="F150" s="54"/>
      <c r="G150" s="297"/>
      <c r="H150" s="298"/>
      <c r="I150" s="298"/>
      <c r="J150" s="298"/>
      <c r="K150" s="298"/>
      <c r="L150" s="298"/>
      <c r="M150" s="298"/>
      <c r="N150" s="298"/>
      <c r="O150" s="298"/>
      <c r="P150" s="298"/>
      <c r="Q150" s="298"/>
      <c r="R150" s="298"/>
      <c r="S150" s="298"/>
      <c r="T150" s="298"/>
      <c r="U150" s="298"/>
      <c r="V150" s="298"/>
      <c r="W150" s="298"/>
      <c r="X150" s="298"/>
      <c r="Y150" s="298"/>
      <c r="Z150" s="298"/>
      <c r="AA150" s="298"/>
      <c r="AB150" s="298"/>
      <c r="AC150" s="298"/>
      <c r="AD150" s="298"/>
      <c r="AE150" s="298"/>
      <c r="AF150" s="298"/>
      <c r="AG150" s="298"/>
      <c r="AH150" s="298"/>
      <c r="AI150" s="299"/>
      <c r="AK150" s="281">
        <v>6</v>
      </c>
      <c r="AL150" s="282"/>
      <c r="AM150" s="279"/>
      <c r="AN150" s="280"/>
      <c r="AO150" s="277">
        <f t="shared" si="6"/>
        <v>0</v>
      </c>
      <c r="AP150" s="278"/>
      <c r="AQ150" s="269">
        <f t="shared" si="5"/>
        <v>0</v>
      </c>
      <c r="AR150" s="270"/>
      <c r="AS150" s="270"/>
      <c r="AT150" s="270"/>
      <c r="AU150" s="270"/>
      <c r="AV150" s="270"/>
      <c r="AW150" s="271"/>
      <c r="AY150" s="11"/>
      <c r="AZ150" s="5"/>
      <c r="BA150" s="5"/>
      <c r="BB150" s="5"/>
      <c r="BC150" s="5"/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DM150" s="5"/>
      <c r="EK150" s="5"/>
      <c r="EL150" s="5"/>
      <c r="EM150" s="5"/>
      <c r="EN150" s="5"/>
      <c r="EO150" s="5"/>
      <c r="EP150" s="5"/>
      <c r="EQ150" s="5"/>
      <c r="ER150" s="5"/>
      <c r="ES150" s="5"/>
      <c r="ET150" s="5"/>
      <c r="EU150" s="5"/>
      <c r="EV150" s="5"/>
      <c r="EW150" s="5"/>
      <c r="EX150" s="5"/>
      <c r="EY150" s="5"/>
      <c r="EZ150" s="5"/>
      <c r="FA150" s="5"/>
      <c r="FB150" s="5"/>
      <c r="FC150" s="5"/>
      <c r="FD150" s="5"/>
      <c r="FE150" s="5"/>
      <c r="FF150" s="5"/>
      <c r="FG150" s="5"/>
      <c r="FH150" s="5"/>
      <c r="FI150" s="5"/>
      <c r="FJ150" s="5"/>
      <c r="FK150" s="5"/>
      <c r="FL150" s="5"/>
      <c r="FM150" s="5"/>
      <c r="FN150" s="5"/>
      <c r="FO150" s="5"/>
      <c r="FP150" s="5"/>
      <c r="FQ150" s="5"/>
      <c r="FR150" s="5"/>
      <c r="FS150" s="5"/>
      <c r="FT150" s="5"/>
      <c r="FU150" s="5"/>
      <c r="FV150" s="5"/>
      <c r="FW150" s="5"/>
      <c r="FX150" s="5"/>
      <c r="FY150" s="5"/>
      <c r="FZ150" s="5"/>
      <c r="GA150" s="5"/>
      <c r="GB150" s="5"/>
      <c r="GC150" s="5"/>
      <c r="GD150" s="5"/>
      <c r="GE150" s="5"/>
      <c r="GF150" s="5"/>
      <c r="GG150" s="5"/>
      <c r="GH150" s="5"/>
      <c r="GI150" s="5"/>
      <c r="GJ150" s="5"/>
      <c r="GK150" s="5"/>
      <c r="GL150" s="5"/>
      <c r="GM150" s="5"/>
      <c r="GN150" s="5"/>
      <c r="GO150" s="5"/>
      <c r="GP150" s="5"/>
      <c r="GQ150" s="5"/>
      <c r="GR150" s="5"/>
      <c r="GS150" s="5"/>
      <c r="GT150" s="5"/>
      <c r="GU150" s="5"/>
      <c r="GV150" s="5"/>
      <c r="GW150" s="5"/>
      <c r="GX150" s="5"/>
      <c r="GY150" s="5"/>
      <c r="GZ150" s="5"/>
    </row>
    <row r="151" spans="6:208" ht="11.1" customHeight="1" x14ac:dyDescent="0.25">
      <c r="F151" s="54"/>
      <c r="G151" s="297"/>
      <c r="H151" s="298"/>
      <c r="I151" s="298"/>
      <c r="J151" s="298"/>
      <c r="K151" s="298"/>
      <c r="L151" s="298"/>
      <c r="M151" s="298"/>
      <c r="N151" s="298"/>
      <c r="O151" s="298"/>
      <c r="P151" s="298"/>
      <c r="Q151" s="298"/>
      <c r="R151" s="298"/>
      <c r="S151" s="298"/>
      <c r="T151" s="298"/>
      <c r="U151" s="298"/>
      <c r="V151" s="298"/>
      <c r="W151" s="298"/>
      <c r="X151" s="298"/>
      <c r="Y151" s="298"/>
      <c r="Z151" s="298"/>
      <c r="AA151" s="298"/>
      <c r="AB151" s="298"/>
      <c r="AC151" s="298"/>
      <c r="AD151" s="298"/>
      <c r="AE151" s="298"/>
      <c r="AF151" s="298"/>
      <c r="AG151" s="298"/>
      <c r="AH151" s="298"/>
      <c r="AI151" s="299"/>
      <c r="AK151" s="281">
        <v>7</v>
      </c>
      <c r="AL151" s="282"/>
      <c r="AM151" s="279"/>
      <c r="AN151" s="280"/>
      <c r="AO151" s="277">
        <f t="shared" si="6"/>
        <v>0</v>
      </c>
      <c r="AP151" s="278"/>
      <c r="AQ151" s="269">
        <f t="shared" si="5"/>
        <v>0</v>
      </c>
      <c r="AR151" s="270"/>
      <c r="AS151" s="270"/>
      <c r="AT151" s="270"/>
      <c r="AU151" s="270"/>
      <c r="AV151" s="270"/>
      <c r="AW151" s="271"/>
      <c r="AY151" s="11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DM151" s="5"/>
      <c r="EK151" s="5"/>
      <c r="EL151" s="5"/>
      <c r="EM151" s="5"/>
      <c r="EN151" s="5"/>
      <c r="EO151" s="5"/>
      <c r="EP151" s="5"/>
      <c r="EQ151" s="5"/>
      <c r="ER151" s="5"/>
      <c r="ES151" s="5"/>
      <c r="ET151" s="5"/>
      <c r="EU151" s="5"/>
      <c r="EV151" s="5"/>
      <c r="EW151" s="5"/>
      <c r="EX151" s="5"/>
      <c r="EY151" s="5"/>
      <c r="EZ151" s="5"/>
      <c r="FA151" s="5"/>
      <c r="FB151" s="5"/>
      <c r="FC151" s="5"/>
      <c r="FD151" s="5"/>
      <c r="FE151" s="5"/>
      <c r="FF151" s="5"/>
      <c r="FG151" s="5"/>
      <c r="FH151" s="5"/>
      <c r="FI151" s="5"/>
      <c r="FJ151" s="5"/>
      <c r="FK151" s="5"/>
      <c r="FL151" s="5"/>
      <c r="FM151" s="5"/>
      <c r="FN151" s="5"/>
      <c r="FO151" s="5"/>
      <c r="FP151" s="5"/>
      <c r="FQ151" s="5"/>
      <c r="FR151" s="5"/>
      <c r="FS151" s="5"/>
      <c r="FT151" s="5"/>
      <c r="FU151" s="5"/>
      <c r="FV151" s="5"/>
      <c r="FW151" s="5"/>
      <c r="FX151" s="5"/>
      <c r="FY151" s="5"/>
      <c r="FZ151" s="5"/>
      <c r="GA151" s="5"/>
      <c r="GB151" s="5"/>
      <c r="GC151" s="5"/>
      <c r="GD151" s="5"/>
      <c r="GE151" s="5"/>
      <c r="GF151" s="5"/>
      <c r="GG151" s="5"/>
      <c r="GH151" s="5"/>
      <c r="GI151" s="5"/>
      <c r="GJ151" s="5"/>
      <c r="GK151" s="5"/>
      <c r="GL151" s="5"/>
      <c r="GM151" s="5"/>
      <c r="GN151" s="5"/>
      <c r="GO151" s="5"/>
      <c r="GP151" s="5"/>
      <c r="GQ151" s="5"/>
      <c r="GR151" s="5"/>
      <c r="GS151" s="5"/>
      <c r="GT151" s="5"/>
      <c r="GU151" s="5"/>
      <c r="GV151" s="5"/>
      <c r="GW151" s="5"/>
      <c r="GX151" s="5"/>
      <c r="GY151" s="5"/>
      <c r="GZ151" s="5"/>
    </row>
    <row r="152" spans="6:208" ht="11.1" customHeight="1" x14ac:dyDescent="0.25">
      <c r="F152" s="54"/>
      <c r="G152" s="297"/>
      <c r="H152" s="298"/>
      <c r="I152" s="298"/>
      <c r="J152" s="298"/>
      <c r="K152" s="298"/>
      <c r="L152" s="298"/>
      <c r="M152" s="298"/>
      <c r="N152" s="298"/>
      <c r="O152" s="298"/>
      <c r="P152" s="298"/>
      <c r="Q152" s="298"/>
      <c r="R152" s="298"/>
      <c r="S152" s="298"/>
      <c r="T152" s="298"/>
      <c r="U152" s="298"/>
      <c r="V152" s="298"/>
      <c r="W152" s="298"/>
      <c r="X152" s="298"/>
      <c r="Y152" s="298"/>
      <c r="Z152" s="298"/>
      <c r="AA152" s="298"/>
      <c r="AB152" s="298"/>
      <c r="AC152" s="298"/>
      <c r="AD152" s="298"/>
      <c r="AE152" s="298"/>
      <c r="AF152" s="298"/>
      <c r="AG152" s="298"/>
      <c r="AH152" s="298"/>
      <c r="AI152" s="299"/>
      <c r="AK152" s="281">
        <v>8</v>
      </c>
      <c r="AL152" s="282"/>
      <c r="AM152" s="279"/>
      <c r="AN152" s="280"/>
      <c r="AO152" s="277">
        <f t="shared" si="6"/>
        <v>0</v>
      </c>
      <c r="AP152" s="278"/>
      <c r="AQ152" s="269">
        <f t="shared" si="5"/>
        <v>0</v>
      </c>
      <c r="AR152" s="270"/>
      <c r="AS152" s="270"/>
      <c r="AT152" s="270"/>
      <c r="AU152" s="270"/>
      <c r="AV152" s="270"/>
      <c r="AW152" s="271"/>
      <c r="AY152" s="11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EK152" s="5"/>
      <c r="EL152" s="5"/>
      <c r="EM152" s="5"/>
      <c r="EN152" s="5"/>
      <c r="EO152" s="5"/>
      <c r="EP152" s="5"/>
      <c r="EQ152" s="5"/>
      <c r="ER152" s="5"/>
      <c r="ES152" s="5"/>
      <c r="ET152" s="5"/>
      <c r="EU152" s="5"/>
      <c r="EV152" s="5"/>
      <c r="EW152" s="5"/>
      <c r="EX152" s="5"/>
      <c r="EY152" s="5"/>
      <c r="EZ152" s="5"/>
      <c r="FA152" s="5"/>
      <c r="FB152" s="5"/>
      <c r="FC152" s="5"/>
      <c r="FD152" s="5"/>
      <c r="FE152" s="5"/>
      <c r="FF152" s="5"/>
      <c r="FG152" s="5"/>
      <c r="FH152" s="5"/>
      <c r="FI152" s="5"/>
      <c r="FJ152" s="5"/>
      <c r="FK152" s="5"/>
      <c r="FL152" s="5"/>
      <c r="FM152" s="5"/>
      <c r="FN152" s="5"/>
      <c r="FO152" s="5"/>
      <c r="FP152" s="5"/>
      <c r="FQ152" s="5"/>
      <c r="FR152" s="5"/>
      <c r="FS152" s="5"/>
      <c r="FT152" s="5"/>
      <c r="FU152" s="5"/>
      <c r="FV152" s="5"/>
      <c r="FW152" s="5"/>
      <c r="FX152" s="5"/>
      <c r="FY152" s="5"/>
      <c r="FZ152" s="5"/>
      <c r="GA152" s="5"/>
      <c r="GB152" s="5"/>
      <c r="GC152" s="5"/>
      <c r="GD152" s="5"/>
      <c r="GE152" s="5"/>
      <c r="GF152" s="5"/>
      <c r="GG152" s="5"/>
      <c r="GH152" s="5"/>
      <c r="GI152" s="5"/>
      <c r="GJ152" s="5"/>
      <c r="GK152" s="5"/>
      <c r="GL152" s="5"/>
      <c r="GM152" s="5"/>
      <c r="GN152" s="5"/>
      <c r="GO152" s="5"/>
      <c r="GP152" s="5"/>
      <c r="GQ152" s="5"/>
      <c r="GR152" s="5"/>
      <c r="GS152" s="5"/>
      <c r="GT152" s="5"/>
      <c r="GU152" s="5"/>
      <c r="GV152" s="5"/>
      <c r="GW152" s="5"/>
      <c r="GX152" s="5"/>
      <c r="GY152" s="5"/>
      <c r="GZ152" s="5"/>
    </row>
    <row r="153" spans="6:208" ht="11.1" customHeight="1" x14ac:dyDescent="0.25">
      <c r="F153" s="54"/>
      <c r="G153" s="297"/>
      <c r="H153" s="298"/>
      <c r="I153" s="298"/>
      <c r="J153" s="298"/>
      <c r="K153" s="298"/>
      <c r="L153" s="298"/>
      <c r="M153" s="298"/>
      <c r="N153" s="298"/>
      <c r="O153" s="298"/>
      <c r="P153" s="298"/>
      <c r="Q153" s="298"/>
      <c r="R153" s="298"/>
      <c r="S153" s="298"/>
      <c r="T153" s="298"/>
      <c r="U153" s="298"/>
      <c r="V153" s="298"/>
      <c r="W153" s="298"/>
      <c r="X153" s="298"/>
      <c r="Y153" s="298"/>
      <c r="Z153" s="298"/>
      <c r="AA153" s="298"/>
      <c r="AB153" s="298"/>
      <c r="AC153" s="298"/>
      <c r="AD153" s="298"/>
      <c r="AE153" s="298"/>
      <c r="AF153" s="298"/>
      <c r="AG153" s="298"/>
      <c r="AH153" s="298"/>
      <c r="AI153" s="299"/>
      <c r="AK153" s="281">
        <v>9</v>
      </c>
      <c r="AL153" s="282"/>
      <c r="AM153" s="279"/>
      <c r="AN153" s="280"/>
      <c r="AO153" s="277">
        <f t="shared" si="6"/>
        <v>0</v>
      </c>
      <c r="AP153" s="278"/>
      <c r="AQ153" s="269">
        <f t="shared" si="5"/>
        <v>0</v>
      </c>
      <c r="AR153" s="270"/>
      <c r="AS153" s="270"/>
      <c r="AT153" s="270"/>
      <c r="AU153" s="270"/>
      <c r="AV153" s="270"/>
      <c r="AW153" s="271"/>
      <c r="AY153" s="11"/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EK153" s="5"/>
      <c r="EL153" s="5"/>
      <c r="EM153" s="5"/>
      <c r="EN153" s="5"/>
      <c r="EO153" s="5"/>
      <c r="EP153" s="5"/>
      <c r="EQ153" s="5"/>
      <c r="ER153" s="5"/>
      <c r="ES153" s="5"/>
      <c r="ET153" s="5"/>
      <c r="EU153" s="5"/>
      <c r="EV153" s="5"/>
      <c r="EW153" s="5"/>
      <c r="EX153" s="5"/>
      <c r="EY153" s="5"/>
      <c r="EZ153" s="5"/>
      <c r="FA153" s="5"/>
      <c r="FB153" s="5"/>
      <c r="FC153" s="5"/>
      <c r="FD153" s="5"/>
      <c r="FE153" s="5"/>
      <c r="FF153" s="5"/>
      <c r="FG153" s="5"/>
      <c r="FH153" s="5"/>
      <c r="FI153" s="5"/>
      <c r="FJ153" s="5"/>
      <c r="FK153" s="5"/>
      <c r="FL153" s="5"/>
      <c r="FM153" s="5"/>
      <c r="FN153" s="5"/>
      <c r="FO153" s="5"/>
      <c r="FP153" s="5"/>
      <c r="FQ153" s="5"/>
      <c r="FR153" s="5"/>
      <c r="FS153" s="5"/>
      <c r="FT153" s="5"/>
      <c r="FU153" s="5"/>
      <c r="FV153" s="5"/>
      <c r="FW153" s="5"/>
      <c r="FX153" s="5"/>
      <c r="FY153" s="5"/>
      <c r="FZ153" s="5"/>
      <c r="GA153" s="5"/>
      <c r="GB153" s="5"/>
      <c r="GC153" s="5"/>
      <c r="GD153" s="5"/>
      <c r="GE153" s="5"/>
      <c r="GF153" s="5"/>
      <c r="GG153" s="5"/>
      <c r="GH153" s="5"/>
      <c r="GI153" s="5"/>
      <c r="GJ153" s="5"/>
      <c r="GK153" s="5"/>
      <c r="GL153" s="5"/>
      <c r="GM153" s="5"/>
      <c r="GN153" s="5"/>
      <c r="GO153" s="5"/>
      <c r="GP153" s="5"/>
      <c r="GQ153" s="5"/>
      <c r="GR153" s="5"/>
      <c r="GS153" s="5"/>
      <c r="GT153" s="5"/>
      <c r="GU153" s="5"/>
      <c r="GV153" s="5"/>
      <c r="GW153" s="5"/>
      <c r="GX153" s="5"/>
      <c r="GY153" s="5"/>
      <c r="GZ153" s="5"/>
    </row>
    <row r="154" spans="6:208" ht="11.1" customHeight="1" x14ac:dyDescent="0.25">
      <c r="F154" s="54"/>
      <c r="G154" s="297"/>
      <c r="H154" s="298"/>
      <c r="I154" s="298"/>
      <c r="J154" s="298"/>
      <c r="K154" s="298"/>
      <c r="L154" s="298"/>
      <c r="M154" s="298"/>
      <c r="N154" s="298"/>
      <c r="O154" s="298"/>
      <c r="P154" s="298"/>
      <c r="Q154" s="298"/>
      <c r="R154" s="298"/>
      <c r="S154" s="298"/>
      <c r="T154" s="298"/>
      <c r="U154" s="298"/>
      <c r="V154" s="298"/>
      <c r="W154" s="298"/>
      <c r="X154" s="298"/>
      <c r="Y154" s="298"/>
      <c r="Z154" s="298"/>
      <c r="AA154" s="298"/>
      <c r="AB154" s="298"/>
      <c r="AC154" s="298"/>
      <c r="AD154" s="298"/>
      <c r="AE154" s="298"/>
      <c r="AF154" s="298"/>
      <c r="AG154" s="298"/>
      <c r="AH154" s="298"/>
      <c r="AI154" s="299"/>
      <c r="AK154" s="281">
        <v>10</v>
      </c>
      <c r="AL154" s="282"/>
      <c r="AM154" s="279"/>
      <c r="AN154" s="280"/>
      <c r="AO154" s="277">
        <f t="shared" si="6"/>
        <v>0</v>
      </c>
      <c r="AP154" s="278"/>
      <c r="AQ154" s="269">
        <f t="shared" si="5"/>
        <v>0</v>
      </c>
      <c r="AR154" s="270"/>
      <c r="AS154" s="270"/>
      <c r="AT154" s="270"/>
      <c r="AU154" s="270"/>
      <c r="AV154" s="270"/>
      <c r="AW154" s="271"/>
      <c r="AY154" s="11"/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EK154" s="5"/>
      <c r="EL154" s="5"/>
      <c r="EM154" s="5"/>
      <c r="EN154" s="5"/>
      <c r="EO154" s="5"/>
      <c r="EP154" s="5"/>
      <c r="EQ154" s="5"/>
      <c r="ER154" s="5"/>
      <c r="ES154" s="5"/>
      <c r="ET154" s="5"/>
      <c r="EU154" s="5"/>
      <c r="EV154" s="5"/>
      <c r="EW154" s="5"/>
      <c r="EX154" s="5"/>
      <c r="EY154" s="5"/>
      <c r="EZ154" s="5"/>
      <c r="FA154" s="5"/>
      <c r="FB154" s="5"/>
      <c r="FC154" s="5"/>
      <c r="FD154" s="5"/>
      <c r="FE154" s="5"/>
      <c r="FF154" s="5"/>
      <c r="FG154" s="5"/>
      <c r="FH154" s="5"/>
      <c r="FI154" s="5"/>
      <c r="FJ154" s="5"/>
      <c r="FK154" s="5"/>
      <c r="FL154" s="5"/>
      <c r="FM154" s="5"/>
      <c r="FN154" s="5"/>
      <c r="FO154" s="5"/>
      <c r="FP154" s="5"/>
      <c r="FQ154" s="5"/>
      <c r="FR154" s="5"/>
      <c r="FS154" s="5"/>
      <c r="FT154" s="5"/>
      <c r="FU154" s="5"/>
      <c r="FV154" s="5"/>
      <c r="FW154" s="5"/>
      <c r="FX154" s="5"/>
      <c r="FY154" s="5"/>
      <c r="FZ154" s="5"/>
      <c r="GA154" s="5"/>
      <c r="GB154" s="5"/>
      <c r="GC154" s="5"/>
      <c r="GD154" s="5"/>
      <c r="GE154" s="5"/>
      <c r="GF154" s="5"/>
      <c r="GG154" s="5"/>
      <c r="GH154" s="5"/>
      <c r="GI154" s="5"/>
      <c r="GJ154" s="5"/>
      <c r="GK154" s="5"/>
      <c r="GL154" s="5"/>
      <c r="GM154" s="5"/>
      <c r="GN154" s="5"/>
      <c r="GO154" s="5"/>
      <c r="GP154" s="5"/>
      <c r="GQ154" s="5"/>
      <c r="GR154" s="5"/>
      <c r="GS154" s="5"/>
      <c r="GT154" s="5"/>
      <c r="GU154" s="5"/>
      <c r="GV154" s="5"/>
      <c r="GW154" s="5"/>
      <c r="GX154" s="5"/>
      <c r="GY154" s="5"/>
      <c r="GZ154" s="5"/>
    </row>
    <row r="155" spans="6:208" ht="11.1" customHeight="1" x14ac:dyDescent="0.25">
      <c r="F155" s="54"/>
      <c r="G155" s="297"/>
      <c r="H155" s="298"/>
      <c r="I155" s="298"/>
      <c r="J155" s="298"/>
      <c r="K155" s="298"/>
      <c r="L155" s="298"/>
      <c r="M155" s="298"/>
      <c r="N155" s="298"/>
      <c r="O155" s="298"/>
      <c r="P155" s="298"/>
      <c r="Q155" s="298"/>
      <c r="R155" s="298"/>
      <c r="S155" s="298"/>
      <c r="T155" s="298"/>
      <c r="U155" s="298"/>
      <c r="V155" s="298"/>
      <c r="W155" s="298"/>
      <c r="X155" s="298"/>
      <c r="Y155" s="298"/>
      <c r="Z155" s="298"/>
      <c r="AA155" s="298"/>
      <c r="AB155" s="298"/>
      <c r="AC155" s="298"/>
      <c r="AD155" s="298"/>
      <c r="AE155" s="298"/>
      <c r="AF155" s="298"/>
      <c r="AG155" s="298"/>
      <c r="AH155" s="298"/>
      <c r="AI155" s="299"/>
      <c r="AK155" s="281">
        <v>11</v>
      </c>
      <c r="AL155" s="282"/>
      <c r="AM155" s="279"/>
      <c r="AN155" s="280"/>
      <c r="AO155" s="277">
        <f t="shared" si="6"/>
        <v>0</v>
      </c>
      <c r="AP155" s="278"/>
      <c r="AQ155" s="269">
        <f t="shared" si="5"/>
        <v>0</v>
      </c>
      <c r="AR155" s="270"/>
      <c r="AS155" s="270"/>
      <c r="AT155" s="270"/>
      <c r="AU155" s="270"/>
      <c r="AV155" s="270"/>
      <c r="AW155" s="271"/>
      <c r="AY155" s="11"/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EK155" s="5"/>
      <c r="EL155" s="5"/>
      <c r="EM155" s="5"/>
      <c r="EN155" s="5"/>
      <c r="EO155" s="5"/>
      <c r="EP155" s="5"/>
      <c r="EQ155" s="5"/>
      <c r="ER155" s="5"/>
      <c r="ES155" s="5"/>
      <c r="ET155" s="5"/>
      <c r="EU155" s="5"/>
      <c r="EV155" s="5"/>
      <c r="EW155" s="5"/>
      <c r="EX155" s="5"/>
      <c r="EY155" s="5"/>
      <c r="EZ155" s="5"/>
      <c r="FA155" s="5"/>
      <c r="FB155" s="5"/>
      <c r="FC155" s="5"/>
      <c r="FD155" s="5"/>
      <c r="FE155" s="5"/>
      <c r="FF155" s="5"/>
      <c r="FG155" s="5"/>
      <c r="FH155" s="5"/>
      <c r="FI155" s="5"/>
      <c r="FJ155" s="5"/>
      <c r="FK155" s="5"/>
      <c r="FL155" s="5"/>
      <c r="FM155" s="5"/>
      <c r="FN155" s="5"/>
      <c r="FO155" s="5"/>
      <c r="FP155" s="5"/>
      <c r="FQ155" s="5"/>
      <c r="FR155" s="5"/>
      <c r="FS155" s="5"/>
      <c r="FT155" s="5"/>
      <c r="FU155" s="5"/>
      <c r="FV155" s="5"/>
      <c r="FW155" s="5"/>
      <c r="FX155" s="5"/>
      <c r="FY155" s="5"/>
      <c r="FZ155" s="5"/>
      <c r="GA155" s="5"/>
      <c r="GB155" s="5"/>
      <c r="GC155" s="5"/>
      <c r="GD155" s="5"/>
      <c r="GE155" s="5"/>
      <c r="GF155" s="5"/>
      <c r="GG155" s="5"/>
      <c r="GH155" s="5"/>
      <c r="GI155" s="5"/>
      <c r="GJ155" s="5"/>
      <c r="GK155" s="5"/>
      <c r="GL155" s="5"/>
      <c r="GM155" s="5"/>
      <c r="GN155" s="5"/>
      <c r="GO155" s="5"/>
      <c r="GP155" s="5"/>
      <c r="GQ155" s="5"/>
      <c r="GR155" s="5"/>
      <c r="GS155" s="5"/>
      <c r="GT155" s="5"/>
      <c r="GU155" s="5"/>
      <c r="GV155" s="5"/>
      <c r="GW155" s="5"/>
      <c r="GX155" s="5"/>
      <c r="GY155" s="5"/>
      <c r="GZ155" s="5"/>
    </row>
    <row r="156" spans="6:208" ht="11.1" customHeight="1" x14ac:dyDescent="0.25">
      <c r="F156" s="54"/>
      <c r="G156" s="297"/>
      <c r="H156" s="298"/>
      <c r="I156" s="298"/>
      <c r="J156" s="298"/>
      <c r="K156" s="298"/>
      <c r="L156" s="298"/>
      <c r="M156" s="298"/>
      <c r="N156" s="298"/>
      <c r="O156" s="298"/>
      <c r="P156" s="298"/>
      <c r="Q156" s="298"/>
      <c r="R156" s="298"/>
      <c r="S156" s="298"/>
      <c r="T156" s="298"/>
      <c r="U156" s="298"/>
      <c r="V156" s="298"/>
      <c r="W156" s="298"/>
      <c r="X156" s="298"/>
      <c r="Y156" s="298"/>
      <c r="Z156" s="298"/>
      <c r="AA156" s="298"/>
      <c r="AB156" s="298"/>
      <c r="AC156" s="298"/>
      <c r="AD156" s="298"/>
      <c r="AE156" s="298"/>
      <c r="AF156" s="298"/>
      <c r="AG156" s="298"/>
      <c r="AH156" s="298"/>
      <c r="AI156" s="299"/>
      <c r="AK156" s="281">
        <v>12</v>
      </c>
      <c r="AL156" s="282"/>
      <c r="AM156" s="279"/>
      <c r="AN156" s="280"/>
      <c r="AO156" s="277">
        <f t="shared" si="6"/>
        <v>0</v>
      </c>
      <c r="AP156" s="278"/>
      <c r="AQ156" s="269">
        <f t="shared" si="5"/>
        <v>0</v>
      </c>
      <c r="AR156" s="270"/>
      <c r="AS156" s="270"/>
      <c r="AT156" s="270"/>
      <c r="AU156" s="270"/>
      <c r="AV156" s="270"/>
      <c r="AW156" s="271"/>
      <c r="AY156" s="11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EK156" s="5"/>
      <c r="EL156" s="5"/>
      <c r="EM156" s="5"/>
      <c r="EN156" s="5"/>
      <c r="EO156" s="5"/>
      <c r="EP156" s="5"/>
      <c r="EQ156" s="5"/>
      <c r="ER156" s="5"/>
      <c r="ES156" s="5"/>
      <c r="ET156" s="5"/>
      <c r="EU156" s="5"/>
      <c r="EV156" s="5"/>
      <c r="EW156" s="5"/>
      <c r="EX156" s="5"/>
      <c r="EY156" s="5"/>
      <c r="EZ156" s="5"/>
      <c r="FA156" s="5"/>
      <c r="FB156" s="5"/>
      <c r="FC156" s="5"/>
      <c r="FD156" s="5"/>
      <c r="FE156" s="5"/>
      <c r="FF156" s="5"/>
      <c r="FG156" s="5"/>
      <c r="FH156" s="5"/>
      <c r="FI156" s="5"/>
      <c r="FJ156" s="5"/>
      <c r="FK156" s="5"/>
      <c r="FL156" s="5"/>
      <c r="FM156" s="5"/>
      <c r="FN156" s="5"/>
      <c r="FO156" s="5"/>
      <c r="FP156" s="5"/>
      <c r="FQ156" s="5"/>
      <c r="FR156" s="5"/>
      <c r="FS156" s="5"/>
      <c r="FT156" s="5"/>
      <c r="FU156" s="5"/>
      <c r="FV156" s="5"/>
      <c r="FW156" s="5"/>
      <c r="FX156" s="5"/>
      <c r="FY156" s="5"/>
      <c r="FZ156" s="5"/>
      <c r="GA156" s="5"/>
      <c r="GB156" s="5"/>
      <c r="GC156" s="5"/>
      <c r="GD156" s="5"/>
      <c r="GE156" s="5"/>
      <c r="GF156" s="5"/>
      <c r="GG156" s="5"/>
      <c r="GH156" s="5"/>
      <c r="GI156" s="5"/>
      <c r="GJ156" s="5"/>
      <c r="GK156" s="5"/>
      <c r="GL156" s="5"/>
      <c r="GM156" s="5"/>
      <c r="GN156" s="5"/>
      <c r="GO156" s="5"/>
      <c r="GP156" s="5"/>
      <c r="GQ156" s="5"/>
      <c r="GR156" s="5"/>
      <c r="GS156" s="5"/>
      <c r="GT156" s="5"/>
      <c r="GU156" s="5"/>
      <c r="GV156" s="5"/>
      <c r="GW156" s="5"/>
      <c r="GX156" s="5"/>
      <c r="GY156" s="5"/>
      <c r="GZ156" s="5"/>
    </row>
    <row r="157" spans="6:208" ht="11.1" customHeight="1" x14ac:dyDescent="0.25">
      <c r="F157" s="54"/>
      <c r="G157" s="297"/>
      <c r="H157" s="298"/>
      <c r="I157" s="298"/>
      <c r="J157" s="298"/>
      <c r="K157" s="298"/>
      <c r="L157" s="298"/>
      <c r="M157" s="298"/>
      <c r="N157" s="298"/>
      <c r="O157" s="298"/>
      <c r="P157" s="298"/>
      <c r="Q157" s="298"/>
      <c r="R157" s="298"/>
      <c r="S157" s="298"/>
      <c r="T157" s="298"/>
      <c r="U157" s="298"/>
      <c r="V157" s="298"/>
      <c r="W157" s="298"/>
      <c r="X157" s="298"/>
      <c r="Y157" s="298"/>
      <c r="Z157" s="298"/>
      <c r="AA157" s="298"/>
      <c r="AB157" s="298"/>
      <c r="AC157" s="298"/>
      <c r="AD157" s="298"/>
      <c r="AE157" s="298"/>
      <c r="AF157" s="298"/>
      <c r="AG157" s="298"/>
      <c r="AH157" s="298"/>
      <c r="AI157" s="299"/>
      <c r="AK157" s="281">
        <v>13</v>
      </c>
      <c r="AL157" s="282"/>
      <c r="AM157" s="279"/>
      <c r="AN157" s="280"/>
      <c r="AO157" s="277">
        <f t="shared" si="6"/>
        <v>0</v>
      </c>
      <c r="AP157" s="278"/>
      <c r="AQ157" s="269">
        <f t="shared" si="5"/>
        <v>0</v>
      </c>
      <c r="AR157" s="270"/>
      <c r="AS157" s="270"/>
      <c r="AT157" s="270"/>
      <c r="AU157" s="270"/>
      <c r="AV157" s="270"/>
      <c r="AW157" s="271"/>
      <c r="AY157" s="11"/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EK157" s="5"/>
      <c r="EL157" s="5"/>
      <c r="EM157" s="5"/>
      <c r="EN157" s="5"/>
      <c r="EO157" s="5"/>
      <c r="EP157" s="5"/>
      <c r="EQ157" s="5"/>
      <c r="ER157" s="5"/>
      <c r="ES157" s="5"/>
      <c r="ET157" s="5"/>
      <c r="EU157" s="5"/>
      <c r="EV157" s="5"/>
      <c r="EW157" s="5"/>
      <c r="EX157" s="5"/>
      <c r="EY157" s="5"/>
      <c r="EZ157" s="5"/>
      <c r="FA157" s="5"/>
      <c r="FB157" s="5"/>
      <c r="FC157" s="5"/>
      <c r="FD157" s="5"/>
      <c r="FE157" s="5"/>
      <c r="FF157" s="5"/>
      <c r="FG157" s="5"/>
      <c r="FH157" s="5"/>
      <c r="FI157" s="5"/>
      <c r="FJ157" s="5"/>
      <c r="FK157" s="5"/>
      <c r="FL157" s="5"/>
      <c r="FM157" s="5"/>
      <c r="FN157" s="5"/>
      <c r="FO157" s="5"/>
      <c r="FP157" s="5"/>
      <c r="FQ157" s="5"/>
      <c r="FR157" s="5"/>
      <c r="FS157" s="5"/>
      <c r="FT157" s="5"/>
      <c r="FU157" s="5"/>
      <c r="FV157" s="5"/>
      <c r="FW157" s="5"/>
      <c r="FX157" s="5"/>
      <c r="FY157" s="5"/>
      <c r="FZ157" s="5"/>
      <c r="GA157" s="5"/>
      <c r="GB157" s="5"/>
      <c r="GC157" s="5"/>
      <c r="GD157" s="5"/>
      <c r="GE157" s="5"/>
      <c r="GF157" s="5"/>
      <c r="GG157" s="5"/>
      <c r="GH157" s="5"/>
      <c r="GI157" s="5"/>
      <c r="GJ157" s="5"/>
      <c r="GK157" s="5"/>
      <c r="GL157" s="5"/>
      <c r="GM157" s="5"/>
      <c r="GN157" s="5"/>
      <c r="GO157" s="5"/>
      <c r="GP157" s="5"/>
      <c r="GQ157" s="5"/>
      <c r="GR157" s="5"/>
      <c r="GS157" s="5"/>
      <c r="GT157" s="5"/>
      <c r="GU157" s="5"/>
      <c r="GV157" s="5"/>
      <c r="GW157" s="5"/>
      <c r="GX157" s="5"/>
      <c r="GY157" s="5"/>
      <c r="GZ157" s="5"/>
    </row>
    <row r="158" spans="6:208" ht="11.1" customHeight="1" x14ac:dyDescent="0.25">
      <c r="F158" s="54"/>
      <c r="G158" s="297"/>
      <c r="H158" s="298"/>
      <c r="I158" s="298"/>
      <c r="J158" s="298"/>
      <c r="K158" s="298"/>
      <c r="L158" s="298"/>
      <c r="M158" s="298"/>
      <c r="N158" s="298"/>
      <c r="O158" s="298"/>
      <c r="P158" s="298"/>
      <c r="Q158" s="298"/>
      <c r="R158" s="298"/>
      <c r="S158" s="298"/>
      <c r="T158" s="298"/>
      <c r="U158" s="298"/>
      <c r="V158" s="298"/>
      <c r="W158" s="298"/>
      <c r="X158" s="298"/>
      <c r="Y158" s="298"/>
      <c r="Z158" s="298"/>
      <c r="AA158" s="298"/>
      <c r="AB158" s="298"/>
      <c r="AC158" s="298"/>
      <c r="AD158" s="298"/>
      <c r="AE158" s="298"/>
      <c r="AF158" s="298"/>
      <c r="AG158" s="298"/>
      <c r="AH158" s="298"/>
      <c r="AI158" s="299"/>
      <c r="AK158" s="281">
        <v>14</v>
      </c>
      <c r="AL158" s="282"/>
      <c r="AM158" s="279"/>
      <c r="AN158" s="280"/>
      <c r="AO158" s="277">
        <f t="shared" si="6"/>
        <v>0</v>
      </c>
      <c r="AP158" s="278"/>
      <c r="AQ158" s="269">
        <f t="shared" si="5"/>
        <v>0</v>
      </c>
      <c r="AR158" s="270"/>
      <c r="AS158" s="270"/>
      <c r="AT158" s="270"/>
      <c r="AU158" s="270"/>
      <c r="AV158" s="270"/>
      <c r="AW158" s="271"/>
      <c r="AY158" s="11"/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EG158" s="5"/>
      <c r="EH158" s="5"/>
      <c r="EI158" s="5"/>
      <c r="EJ158" s="5"/>
      <c r="EK158" s="5"/>
      <c r="EL158" s="5"/>
      <c r="EM158" s="5"/>
      <c r="EN158" s="5"/>
      <c r="EO158" s="5"/>
      <c r="EP158" s="5"/>
      <c r="EQ158" s="5"/>
      <c r="ER158" s="5"/>
      <c r="ES158" s="5"/>
      <c r="ET158" s="5"/>
      <c r="EU158" s="5"/>
      <c r="EV158" s="5"/>
      <c r="EW158" s="5"/>
      <c r="EX158" s="5"/>
      <c r="EY158" s="5"/>
      <c r="EZ158" s="5"/>
      <c r="FA158" s="5"/>
      <c r="FB158" s="5"/>
      <c r="FC158" s="5"/>
      <c r="FD158" s="5"/>
      <c r="FE158" s="5"/>
      <c r="FF158" s="5"/>
      <c r="FG158" s="5"/>
      <c r="FH158" s="5"/>
      <c r="FI158" s="5"/>
      <c r="FJ158" s="5"/>
      <c r="FK158" s="5"/>
      <c r="FL158" s="5"/>
      <c r="FM158" s="5"/>
      <c r="FN158" s="5"/>
      <c r="FO158" s="5"/>
      <c r="FP158" s="5"/>
      <c r="FQ158" s="5"/>
      <c r="FR158" s="5"/>
      <c r="FS158" s="5"/>
      <c r="FT158" s="5"/>
      <c r="FU158" s="5"/>
      <c r="FV158" s="5"/>
      <c r="FW158" s="5"/>
      <c r="FX158" s="5"/>
      <c r="FY158" s="5"/>
      <c r="FZ158" s="5"/>
      <c r="GA158" s="5"/>
      <c r="GB158" s="5"/>
      <c r="GC158" s="5"/>
      <c r="GD158" s="5"/>
      <c r="GE158" s="5"/>
      <c r="GF158" s="5"/>
      <c r="GG158" s="5"/>
      <c r="GH158" s="5"/>
      <c r="GI158" s="5"/>
      <c r="GJ158" s="5"/>
      <c r="GK158" s="5"/>
      <c r="GL158" s="5"/>
      <c r="GM158" s="5"/>
      <c r="GN158" s="5"/>
      <c r="GO158" s="5"/>
      <c r="GP158" s="5"/>
      <c r="GQ158" s="5"/>
      <c r="GR158" s="5"/>
      <c r="GS158" s="5"/>
      <c r="GT158" s="5"/>
      <c r="GU158" s="5"/>
      <c r="GV158" s="5"/>
      <c r="GW158" s="5"/>
      <c r="GX158" s="5"/>
      <c r="GY158" s="5"/>
      <c r="GZ158" s="5"/>
    </row>
    <row r="159" spans="6:208" ht="11.1" customHeight="1" x14ac:dyDescent="0.25">
      <c r="F159" s="54"/>
      <c r="G159" s="297"/>
      <c r="H159" s="298"/>
      <c r="I159" s="298"/>
      <c r="J159" s="298"/>
      <c r="K159" s="298"/>
      <c r="L159" s="298"/>
      <c r="M159" s="298"/>
      <c r="N159" s="298"/>
      <c r="O159" s="298"/>
      <c r="P159" s="298"/>
      <c r="Q159" s="298"/>
      <c r="R159" s="298"/>
      <c r="S159" s="298"/>
      <c r="T159" s="298"/>
      <c r="U159" s="298"/>
      <c r="V159" s="298"/>
      <c r="W159" s="298"/>
      <c r="X159" s="298"/>
      <c r="Y159" s="298"/>
      <c r="Z159" s="298"/>
      <c r="AA159" s="298"/>
      <c r="AB159" s="298"/>
      <c r="AC159" s="298"/>
      <c r="AD159" s="298"/>
      <c r="AE159" s="298"/>
      <c r="AF159" s="298"/>
      <c r="AG159" s="298"/>
      <c r="AH159" s="298"/>
      <c r="AI159" s="299"/>
      <c r="AK159" s="281">
        <v>15</v>
      </c>
      <c r="AL159" s="282"/>
      <c r="AM159" s="279"/>
      <c r="AN159" s="280"/>
      <c r="AO159" s="277">
        <f t="shared" si="6"/>
        <v>0</v>
      </c>
      <c r="AP159" s="278"/>
      <c r="AQ159" s="269">
        <f t="shared" si="5"/>
        <v>0</v>
      </c>
      <c r="AR159" s="270"/>
      <c r="AS159" s="270"/>
      <c r="AT159" s="270"/>
      <c r="AU159" s="270"/>
      <c r="AV159" s="270"/>
      <c r="AW159" s="271"/>
      <c r="AY159" s="11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DM159" s="5"/>
      <c r="DX159" s="5"/>
      <c r="DY159" s="5"/>
      <c r="DZ159" s="5"/>
      <c r="EA159" s="5"/>
      <c r="EB159" s="5"/>
      <c r="EC159" s="5"/>
      <c r="ED159" s="5"/>
      <c r="EE159" s="5"/>
      <c r="EF159" s="5"/>
      <c r="EG159" s="5"/>
      <c r="EH159" s="5"/>
      <c r="EI159" s="5"/>
      <c r="EJ159" s="5"/>
      <c r="EK159" s="5"/>
      <c r="EL159" s="5"/>
      <c r="EM159" s="5"/>
      <c r="EN159" s="5"/>
      <c r="EO159" s="5"/>
      <c r="EP159" s="5"/>
      <c r="EQ159" s="5"/>
      <c r="ER159" s="5"/>
      <c r="ES159" s="5"/>
      <c r="ET159" s="5"/>
      <c r="EU159" s="5"/>
      <c r="EV159" s="5"/>
      <c r="EW159" s="5"/>
      <c r="EX159" s="5"/>
      <c r="EY159" s="5"/>
      <c r="EZ159" s="5"/>
      <c r="FA159" s="5"/>
      <c r="FB159" s="5"/>
      <c r="FC159" s="5"/>
      <c r="FD159" s="5"/>
      <c r="FE159" s="5"/>
      <c r="FF159" s="5"/>
      <c r="FG159" s="5"/>
      <c r="FH159" s="5"/>
      <c r="FI159" s="5"/>
      <c r="FJ159" s="5"/>
      <c r="FK159" s="5"/>
      <c r="FL159" s="5"/>
      <c r="FM159" s="5"/>
      <c r="FN159" s="5"/>
      <c r="FO159" s="5"/>
      <c r="FP159" s="5"/>
      <c r="FQ159" s="5"/>
      <c r="FR159" s="5"/>
      <c r="FS159" s="5"/>
      <c r="FT159" s="5"/>
      <c r="FU159" s="5"/>
      <c r="FV159" s="5"/>
      <c r="FW159" s="5"/>
      <c r="FX159" s="5"/>
      <c r="FY159" s="5"/>
      <c r="FZ159" s="5"/>
      <c r="GA159" s="5"/>
      <c r="GB159" s="5"/>
      <c r="GC159" s="5"/>
      <c r="GD159" s="5"/>
      <c r="GE159" s="5"/>
      <c r="GF159" s="5"/>
      <c r="GG159" s="5"/>
      <c r="GH159" s="5"/>
      <c r="GI159" s="5"/>
      <c r="GJ159" s="5"/>
      <c r="GK159" s="5"/>
      <c r="GL159" s="5"/>
      <c r="GM159" s="5"/>
      <c r="GN159" s="5"/>
      <c r="GO159" s="5"/>
      <c r="GP159" s="5"/>
      <c r="GQ159" s="5"/>
      <c r="GR159" s="5"/>
      <c r="GS159" s="5"/>
      <c r="GT159" s="5"/>
      <c r="GU159" s="5"/>
      <c r="GV159" s="5"/>
      <c r="GW159" s="5"/>
      <c r="GX159" s="5"/>
      <c r="GY159" s="5"/>
      <c r="GZ159" s="5"/>
    </row>
    <row r="160" spans="6:208" ht="11.1" customHeight="1" x14ac:dyDescent="0.25">
      <c r="F160" s="54"/>
      <c r="G160" s="297"/>
      <c r="H160" s="298"/>
      <c r="I160" s="298"/>
      <c r="J160" s="298"/>
      <c r="K160" s="298"/>
      <c r="L160" s="298"/>
      <c r="M160" s="298"/>
      <c r="N160" s="298"/>
      <c r="O160" s="298"/>
      <c r="P160" s="298"/>
      <c r="Q160" s="298"/>
      <c r="R160" s="298"/>
      <c r="S160" s="298"/>
      <c r="T160" s="298"/>
      <c r="U160" s="298"/>
      <c r="V160" s="298"/>
      <c r="W160" s="298"/>
      <c r="X160" s="298"/>
      <c r="Y160" s="298"/>
      <c r="Z160" s="298"/>
      <c r="AA160" s="298"/>
      <c r="AB160" s="298"/>
      <c r="AC160" s="298"/>
      <c r="AD160" s="298"/>
      <c r="AE160" s="298"/>
      <c r="AF160" s="298"/>
      <c r="AG160" s="298"/>
      <c r="AH160" s="298"/>
      <c r="AI160" s="299"/>
      <c r="AK160" s="281">
        <v>16</v>
      </c>
      <c r="AL160" s="282"/>
      <c r="AM160" s="279"/>
      <c r="AN160" s="280"/>
      <c r="AO160" s="277">
        <f t="shared" si="6"/>
        <v>0</v>
      </c>
      <c r="AP160" s="278"/>
      <c r="AQ160" s="269">
        <f t="shared" si="5"/>
        <v>0</v>
      </c>
      <c r="AR160" s="270"/>
      <c r="AS160" s="270"/>
      <c r="AT160" s="270"/>
      <c r="AU160" s="270"/>
      <c r="AV160" s="270"/>
      <c r="AW160" s="271"/>
      <c r="AY160" s="11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DM160" s="5"/>
      <c r="DX160" s="5"/>
      <c r="DY160" s="5"/>
      <c r="DZ160" s="5"/>
      <c r="EA160" s="5"/>
      <c r="EB160" s="5"/>
      <c r="EC160" s="5"/>
      <c r="ED160" s="5"/>
      <c r="EE160" s="5"/>
      <c r="EF160" s="5"/>
      <c r="EG160" s="5"/>
      <c r="EH160" s="5"/>
      <c r="EI160" s="5"/>
      <c r="EJ160" s="5"/>
      <c r="EK160" s="5"/>
      <c r="EL160" s="5"/>
      <c r="EM160" s="5"/>
      <c r="EN160" s="5"/>
      <c r="EO160" s="5"/>
      <c r="EP160" s="5"/>
      <c r="EQ160" s="5"/>
      <c r="ER160" s="5"/>
      <c r="ES160" s="5"/>
      <c r="ET160" s="5"/>
      <c r="EU160" s="5"/>
      <c r="EV160" s="5"/>
      <c r="EW160" s="5"/>
      <c r="EX160" s="5"/>
      <c r="EY160" s="5"/>
      <c r="EZ160" s="5"/>
      <c r="FA160" s="5"/>
      <c r="FB160" s="5"/>
      <c r="FC160" s="5"/>
      <c r="FD160" s="5"/>
      <c r="FE160" s="5"/>
      <c r="FF160" s="5"/>
      <c r="FG160" s="5"/>
      <c r="FH160" s="5"/>
      <c r="FI160" s="5"/>
      <c r="FJ160" s="5"/>
      <c r="FK160" s="5"/>
      <c r="FL160" s="5"/>
      <c r="FM160" s="5"/>
      <c r="FN160" s="5"/>
      <c r="FO160" s="5"/>
      <c r="FP160" s="5"/>
      <c r="FQ160" s="5"/>
      <c r="FR160" s="5"/>
      <c r="FS160" s="5"/>
      <c r="FT160" s="5"/>
      <c r="FU160" s="5"/>
      <c r="FV160" s="5"/>
      <c r="FW160" s="5"/>
      <c r="FX160" s="5"/>
      <c r="FY160" s="5"/>
      <c r="FZ160" s="5"/>
      <c r="GA160" s="5"/>
      <c r="GB160" s="5"/>
      <c r="GC160" s="5"/>
      <c r="GD160" s="5"/>
      <c r="GE160" s="5"/>
      <c r="GF160" s="5"/>
      <c r="GG160" s="5"/>
      <c r="GH160" s="5"/>
      <c r="GI160" s="5"/>
      <c r="GJ160" s="5"/>
      <c r="GK160" s="5"/>
      <c r="GL160" s="5"/>
      <c r="GM160" s="5"/>
      <c r="GN160" s="5"/>
      <c r="GO160" s="5"/>
      <c r="GP160" s="5"/>
      <c r="GQ160" s="5"/>
      <c r="GR160" s="5"/>
      <c r="GS160" s="5"/>
      <c r="GT160" s="5"/>
      <c r="GU160" s="5"/>
      <c r="GV160" s="5"/>
      <c r="GW160" s="5"/>
      <c r="GX160" s="5"/>
      <c r="GY160" s="5"/>
      <c r="GZ160" s="5"/>
    </row>
    <row r="161" spans="5:208" ht="11.1" customHeight="1" x14ac:dyDescent="0.25">
      <c r="F161" s="54"/>
      <c r="G161" s="297"/>
      <c r="H161" s="298"/>
      <c r="I161" s="298"/>
      <c r="J161" s="298"/>
      <c r="K161" s="298"/>
      <c r="L161" s="298"/>
      <c r="M161" s="298"/>
      <c r="N161" s="298"/>
      <c r="O161" s="298"/>
      <c r="P161" s="298"/>
      <c r="Q161" s="298"/>
      <c r="R161" s="298"/>
      <c r="S161" s="298"/>
      <c r="T161" s="298"/>
      <c r="U161" s="298"/>
      <c r="V161" s="298"/>
      <c r="W161" s="298"/>
      <c r="X161" s="298"/>
      <c r="Y161" s="298"/>
      <c r="Z161" s="298"/>
      <c r="AA161" s="298"/>
      <c r="AB161" s="298"/>
      <c r="AC161" s="298"/>
      <c r="AD161" s="298"/>
      <c r="AE161" s="298"/>
      <c r="AF161" s="298"/>
      <c r="AG161" s="298"/>
      <c r="AH161" s="298"/>
      <c r="AI161" s="299"/>
      <c r="AK161" s="281">
        <v>17</v>
      </c>
      <c r="AL161" s="282"/>
      <c r="AM161" s="279"/>
      <c r="AN161" s="280"/>
      <c r="AO161" s="277">
        <f t="shared" si="6"/>
        <v>0</v>
      </c>
      <c r="AP161" s="278"/>
      <c r="AQ161" s="269">
        <f t="shared" si="5"/>
        <v>0</v>
      </c>
      <c r="AR161" s="270"/>
      <c r="AS161" s="270"/>
      <c r="AT161" s="270"/>
      <c r="AU161" s="270"/>
      <c r="AV161" s="270"/>
      <c r="AW161" s="271"/>
      <c r="AY161" s="11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DM161" s="5"/>
      <c r="DX161" s="5"/>
      <c r="DY161" s="5"/>
      <c r="DZ161" s="5"/>
      <c r="EA161" s="5"/>
      <c r="EB161" s="5"/>
      <c r="EC161" s="5"/>
      <c r="ED161" s="5"/>
      <c r="EE161" s="5"/>
      <c r="EF161" s="5"/>
      <c r="EG161" s="5"/>
      <c r="EH161" s="5"/>
      <c r="EI161" s="5"/>
      <c r="EJ161" s="5"/>
      <c r="EK161" s="5"/>
      <c r="EL161" s="5"/>
      <c r="EM161" s="5"/>
      <c r="EN161" s="5"/>
      <c r="EO161" s="5"/>
      <c r="EP161" s="5"/>
      <c r="EQ161" s="5"/>
      <c r="ER161" s="5"/>
      <c r="ES161" s="5"/>
      <c r="ET161" s="5"/>
      <c r="EU161" s="5"/>
      <c r="EV161" s="5"/>
      <c r="EW161" s="5"/>
      <c r="EX161" s="5"/>
      <c r="EY161" s="5"/>
      <c r="EZ161" s="5"/>
      <c r="FA161" s="5"/>
      <c r="FB161" s="5"/>
      <c r="FC161" s="5"/>
      <c r="FD161" s="5"/>
      <c r="FE161" s="5"/>
      <c r="FF161" s="5"/>
      <c r="FG161" s="5"/>
      <c r="FH161" s="5"/>
      <c r="FI161" s="5"/>
      <c r="FJ161" s="5"/>
      <c r="FK161" s="5"/>
      <c r="FL161" s="5"/>
      <c r="FM161" s="5"/>
      <c r="FN161" s="5"/>
      <c r="FO161" s="5"/>
      <c r="FP161" s="5"/>
      <c r="FQ161" s="5"/>
      <c r="FR161" s="5"/>
      <c r="FS161" s="5"/>
      <c r="FT161" s="5"/>
      <c r="FU161" s="5"/>
      <c r="FV161" s="5"/>
      <c r="FW161" s="5"/>
      <c r="FX161" s="5"/>
      <c r="FY161" s="5"/>
      <c r="FZ161" s="5"/>
      <c r="GA161" s="5"/>
      <c r="GB161" s="5"/>
      <c r="GC161" s="5"/>
      <c r="GD161" s="5"/>
      <c r="GE161" s="5"/>
      <c r="GF161" s="5"/>
      <c r="GG161" s="5"/>
      <c r="GH161" s="5"/>
      <c r="GI161" s="5"/>
      <c r="GJ161" s="5"/>
      <c r="GK161" s="5"/>
      <c r="GL161" s="5"/>
      <c r="GM161" s="5"/>
      <c r="GN161" s="5"/>
      <c r="GO161" s="5"/>
      <c r="GP161" s="5"/>
      <c r="GQ161" s="5"/>
      <c r="GR161" s="5"/>
      <c r="GS161" s="5"/>
      <c r="GT161" s="5"/>
      <c r="GU161" s="5"/>
      <c r="GV161" s="5"/>
      <c r="GW161" s="5"/>
      <c r="GX161" s="5"/>
      <c r="GY161" s="5"/>
      <c r="GZ161" s="5"/>
    </row>
    <row r="162" spans="5:208" ht="11.1" customHeight="1" x14ac:dyDescent="0.25">
      <c r="F162" s="54"/>
      <c r="G162" s="297"/>
      <c r="H162" s="298"/>
      <c r="I162" s="298"/>
      <c r="J162" s="298"/>
      <c r="K162" s="298"/>
      <c r="L162" s="298"/>
      <c r="M162" s="298"/>
      <c r="N162" s="298"/>
      <c r="O162" s="298"/>
      <c r="P162" s="298"/>
      <c r="Q162" s="298"/>
      <c r="R162" s="298"/>
      <c r="S162" s="298"/>
      <c r="T162" s="298"/>
      <c r="U162" s="298"/>
      <c r="V162" s="298"/>
      <c r="W162" s="298"/>
      <c r="X162" s="298"/>
      <c r="Y162" s="298"/>
      <c r="Z162" s="298"/>
      <c r="AA162" s="298"/>
      <c r="AB162" s="298"/>
      <c r="AC162" s="298"/>
      <c r="AD162" s="298"/>
      <c r="AE162" s="298"/>
      <c r="AF162" s="298"/>
      <c r="AG162" s="298"/>
      <c r="AH162" s="298"/>
      <c r="AI162" s="299"/>
      <c r="AK162" s="281">
        <v>18</v>
      </c>
      <c r="AL162" s="282"/>
      <c r="AM162" s="279"/>
      <c r="AN162" s="280"/>
      <c r="AO162" s="277">
        <f t="shared" si="6"/>
        <v>0</v>
      </c>
      <c r="AP162" s="278"/>
      <c r="AQ162" s="269">
        <f t="shared" si="5"/>
        <v>0</v>
      </c>
      <c r="AR162" s="270"/>
      <c r="AS162" s="270"/>
      <c r="AT162" s="270"/>
      <c r="AU162" s="270"/>
      <c r="AV162" s="270"/>
      <c r="AW162" s="271"/>
      <c r="AY162" s="11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DM162" s="5"/>
      <c r="DX162" s="5"/>
      <c r="DY162" s="5"/>
      <c r="DZ162" s="5"/>
      <c r="EA162" s="5"/>
      <c r="EB162" s="5"/>
      <c r="EC162" s="5"/>
      <c r="ED162" s="5"/>
      <c r="EE162" s="5"/>
      <c r="EF162" s="5"/>
      <c r="EG162" s="5"/>
      <c r="EH162" s="5"/>
      <c r="EI162" s="5"/>
      <c r="EJ162" s="5"/>
      <c r="EK162" s="5"/>
      <c r="EL162" s="5"/>
      <c r="EM162" s="5"/>
      <c r="EN162" s="5"/>
      <c r="EO162" s="5"/>
      <c r="EP162" s="5"/>
      <c r="EQ162" s="5"/>
      <c r="ER162" s="5"/>
      <c r="ES162" s="5"/>
      <c r="ET162" s="5"/>
      <c r="EU162" s="5"/>
      <c r="EV162" s="5"/>
      <c r="EW162" s="5"/>
      <c r="EX162" s="5"/>
      <c r="EY162" s="5"/>
      <c r="EZ162" s="5"/>
      <c r="FA162" s="5"/>
      <c r="FB162" s="5"/>
      <c r="FC162" s="5"/>
      <c r="FD162" s="5"/>
      <c r="FE162" s="5"/>
      <c r="FF162" s="5"/>
      <c r="FG162" s="5"/>
      <c r="FH162" s="5"/>
      <c r="FI162" s="5"/>
      <c r="FJ162" s="5"/>
      <c r="FK162" s="5"/>
      <c r="FL162" s="5"/>
      <c r="FM162" s="5"/>
      <c r="FN162" s="5"/>
      <c r="FO162" s="5"/>
      <c r="FP162" s="5"/>
      <c r="FQ162" s="5"/>
      <c r="FR162" s="5"/>
      <c r="FS162" s="5"/>
      <c r="FT162" s="5"/>
      <c r="FU162" s="5"/>
      <c r="FV162" s="5"/>
      <c r="FW162" s="5"/>
      <c r="FX162" s="5"/>
      <c r="FY162" s="5"/>
      <c r="FZ162" s="5"/>
      <c r="GA162" s="5"/>
      <c r="GB162" s="5"/>
      <c r="GC162" s="5"/>
      <c r="GD162" s="5"/>
      <c r="GE162" s="5"/>
      <c r="GF162" s="5"/>
      <c r="GG162" s="5"/>
      <c r="GH162" s="5"/>
      <c r="GI162" s="5"/>
      <c r="GJ162" s="5"/>
      <c r="GK162" s="5"/>
      <c r="GL162" s="5"/>
      <c r="GM162" s="5"/>
      <c r="GN162" s="5"/>
      <c r="GO162" s="5"/>
      <c r="GP162" s="5"/>
      <c r="GQ162" s="5"/>
      <c r="GR162" s="5"/>
      <c r="GS162" s="5"/>
      <c r="GT162" s="5"/>
      <c r="GU162" s="5"/>
      <c r="GV162" s="5"/>
      <c r="GW162" s="5"/>
      <c r="GX162" s="5"/>
      <c r="GY162" s="5"/>
      <c r="GZ162" s="5"/>
    </row>
    <row r="163" spans="5:208" ht="11.1" customHeight="1" x14ac:dyDescent="0.25">
      <c r="F163" s="54"/>
      <c r="G163" s="300"/>
      <c r="H163" s="301"/>
      <c r="I163" s="301"/>
      <c r="J163" s="301"/>
      <c r="K163" s="301"/>
      <c r="L163" s="301"/>
      <c r="M163" s="301"/>
      <c r="N163" s="301"/>
      <c r="O163" s="301"/>
      <c r="P163" s="301"/>
      <c r="Q163" s="301"/>
      <c r="R163" s="301"/>
      <c r="S163" s="301"/>
      <c r="T163" s="301"/>
      <c r="U163" s="301"/>
      <c r="V163" s="301"/>
      <c r="W163" s="301"/>
      <c r="X163" s="301"/>
      <c r="Y163" s="301"/>
      <c r="Z163" s="301"/>
      <c r="AA163" s="301"/>
      <c r="AB163" s="301"/>
      <c r="AC163" s="301"/>
      <c r="AD163" s="301"/>
      <c r="AE163" s="301"/>
      <c r="AF163" s="301"/>
      <c r="AG163" s="301"/>
      <c r="AH163" s="301"/>
      <c r="AI163" s="302"/>
      <c r="AK163" s="281">
        <v>19</v>
      </c>
      <c r="AL163" s="282"/>
      <c r="AM163" s="279"/>
      <c r="AN163" s="280"/>
      <c r="AO163" s="277">
        <f t="shared" si="6"/>
        <v>0</v>
      </c>
      <c r="AP163" s="278"/>
      <c r="AQ163" s="269">
        <f t="shared" si="5"/>
        <v>0</v>
      </c>
      <c r="AR163" s="270"/>
      <c r="AS163" s="270"/>
      <c r="AT163" s="270"/>
      <c r="AU163" s="270"/>
      <c r="AV163" s="270"/>
      <c r="AW163" s="271"/>
      <c r="AX163" s="42"/>
      <c r="AY163" s="11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DM163" s="5"/>
      <c r="DX163" s="5"/>
      <c r="DY163" s="5"/>
      <c r="DZ163" s="5"/>
      <c r="EA163" s="5"/>
      <c r="EB163" s="5"/>
      <c r="EC163" s="5"/>
      <c r="ED163" s="5"/>
      <c r="EE163" s="5"/>
      <c r="EF163" s="5"/>
      <c r="EG163" s="5"/>
      <c r="EH163" s="5"/>
      <c r="EI163" s="5"/>
      <c r="EJ163" s="5"/>
      <c r="EK163" s="5"/>
      <c r="EL163" s="5"/>
      <c r="EM163" s="5"/>
      <c r="EN163" s="5"/>
      <c r="EO163" s="5"/>
      <c r="EP163" s="5"/>
      <c r="EQ163" s="5"/>
      <c r="ER163" s="5"/>
      <c r="ES163" s="5"/>
      <c r="ET163" s="5"/>
      <c r="EU163" s="5"/>
      <c r="EV163" s="5"/>
      <c r="EW163" s="5"/>
      <c r="EX163" s="5"/>
      <c r="EY163" s="5"/>
      <c r="EZ163" s="5"/>
      <c r="FA163" s="5"/>
      <c r="FB163" s="5"/>
      <c r="FC163" s="5"/>
      <c r="FD163" s="5"/>
      <c r="FE163" s="5"/>
      <c r="FF163" s="5"/>
      <c r="FG163" s="5"/>
      <c r="FH163" s="5"/>
      <c r="FI163" s="5"/>
      <c r="FJ163" s="5"/>
      <c r="FK163" s="5"/>
      <c r="FL163" s="5"/>
      <c r="FM163" s="5"/>
      <c r="FN163" s="5"/>
      <c r="FO163" s="5"/>
      <c r="FP163" s="5"/>
      <c r="FQ163" s="5"/>
      <c r="FR163" s="5"/>
      <c r="FS163" s="5"/>
      <c r="FT163" s="5"/>
      <c r="FU163" s="5"/>
      <c r="FV163" s="5"/>
      <c r="FW163" s="5"/>
      <c r="FX163" s="5"/>
      <c r="FY163" s="5"/>
      <c r="FZ163" s="5"/>
      <c r="GA163" s="5"/>
      <c r="GB163" s="5"/>
      <c r="GC163" s="5"/>
      <c r="GD163" s="5"/>
      <c r="GE163" s="5"/>
      <c r="GF163" s="5"/>
      <c r="GG163" s="5"/>
      <c r="GH163" s="5"/>
      <c r="GI163" s="5"/>
      <c r="GJ163" s="5"/>
      <c r="GK163" s="5"/>
      <c r="GL163" s="5"/>
      <c r="GM163" s="5"/>
      <c r="GN163" s="5"/>
      <c r="GO163" s="5"/>
      <c r="GP163" s="5"/>
      <c r="GQ163" s="5"/>
      <c r="GR163" s="5"/>
      <c r="GS163" s="5"/>
      <c r="GT163" s="5"/>
      <c r="GU163" s="5"/>
      <c r="GV163" s="5"/>
      <c r="GW163" s="5"/>
      <c r="GX163" s="5"/>
      <c r="GY163" s="5"/>
      <c r="GZ163" s="5"/>
    </row>
    <row r="164" spans="5:208" ht="11.1" customHeight="1" x14ac:dyDescent="0.25">
      <c r="F164" s="54"/>
      <c r="G164" s="334" t="s">
        <v>269</v>
      </c>
      <c r="H164" s="237"/>
      <c r="I164" s="237"/>
      <c r="J164" s="237"/>
      <c r="K164" s="237"/>
      <c r="L164" s="237"/>
      <c r="M164" s="237"/>
      <c r="N164" s="237"/>
      <c r="O164" s="237"/>
      <c r="P164" s="237"/>
      <c r="Q164" s="237"/>
      <c r="R164" s="237"/>
      <c r="S164" s="237"/>
      <c r="T164" s="237"/>
      <c r="U164" s="237"/>
      <c r="V164" s="237"/>
      <c r="W164" s="237"/>
      <c r="X164" s="237"/>
      <c r="Y164" s="237"/>
      <c r="Z164" s="237"/>
      <c r="AA164" s="237"/>
      <c r="AB164" s="237"/>
      <c r="AC164" s="237"/>
      <c r="AD164" s="237"/>
      <c r="AE164" s="237"/>
      <c r="AF164" s="237"/>
      <c r="AG164" s="237"/>
      <c r="AH164" s="237"/>
      <c r="AI164" s="238"/>
      <c r="AJ164" s="5"/>
      <c r="AK164" s="281">
        <v>20</v>
      </c>
      <c r="AL164" s="282"/>
      <c r="AM164" s="279"/>
      <c r="AN164" s="280"/>
      <c r="AO164" s="277">
        <f t="shared" si="6"/>
        <v>0</v>
      </c>
      <c r="AP164" s="278"/>
      <c r="AQ164" s="269">
        <f t="shared" si="5"/>
        <v>0</v>
      </c>
      <c r="AR164" s="270"/>
      <c r="AS164" s="270"/>
      <c r="AT164" s="270"/>
      <c r="AU164" s="270"/>
      <c r="AV164" s="270"/>
      <c r="AW164" s="271"/>
      <c r="AX164" s="42"/>
      <c r="AY164" s="11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DM164" s="5"/>
      <c r="DX164" s="5"/>
      <c r="DY164" s="5"/>
      <c r="DZ164" s="5"/>
      <c r="EA164" s="5"/>
      <c r="EB164" s="5"/>
      <c r="EC164" s="5"/>
      <c r="ED164" s="5"/>
      <c r="EE164" s="5"/>
      <c r="EF164" s="5"/>
      <c r="EG164" s="5"/>
      <c r="EH164" s="5"/>
      <c r="EI164" s="5"/>
      <c r="EJ164" s="5"/>
      <c r="EK164" s="5"/>
      <c r="EL164" s="5"/>
      <c r="EM164" s="5"/>
      <c r="EN164" s="5"/>
      <c r="EO164" s="5"/>
      <c r="EP164" s="5"/>
      <c r="EQ164" s="5"/>
      <c r="ER164" s="5"/>
      <c r="ES164" s="5"/>
      <c r="ET164" s="5"/>
      <c r="EU164" s="5"/>
      <c r="EV164" s="5"/>
      <c r="EW164" s="5"/>
      <c r="EX164" s="5"/>
      <c r="EY164" s="5"/>
      <c r="EZ164" s="5"/>
      <c r="FA164" s="5"/>
      <c r="FB164" s="5"/>
      <c r="FC164" s="5"/>
      <c r="FD164" s="5"/>
      <c r="FE164" s="5"/>
      <c r="FF164" s="5"/>
      <c r="FG164" s="5"/>
      <c r="FH164" s="5"/>
      <c r="FI164" s="5"/>
      <c r="FJ164" s="5"/>
      <c r="FK164" s="5"/>
      <c r="FL164" s="5"/>
      <c r="FM164" s="5"/>
      <c r="FN164" s="5"/>
      <c r="FO164" s="5"/>
      <c r="FP164" s="5"/>
      <c r="FQ164" s="5"/>
      <c r="FR164" s="5"/>
      <c r="FS164" s="5"/>
      <c r="FT164" s="5"/>
      <c r="FU164" s="5"/>
      <c r="FV164" s="5"/>
      <c r="FW164" s="5"/>
      <c r="FX164" s="5"/>
      <c r="FY164" s="5"/>
      <c r="FZ164" s="5"/>
      <c r="GA164" s="5"/>
      <c r="GB164" s="5"/>
      <c r="GC164" s="5"/>
      <c r="GD164" s="5"/>
      <c r="GE164" s="5"/>
      <c r="GF164" s="5"/>
      <c r="GG164" s="5"/>
      <c r="GH164" s="5"/>
      <c r="GI164" s="5"/>
      <c r="GJ164" s="5"/>
      <c r="GK164" s="5"/>
      <c r="GL164" s="5"/>
      <c r="GM164" s="5"/>
      <c r="GN164" s="5"/>
      <c r="GO164" s="5"/>
      <c r="GP164" s="5"/>
      <c r="GQ164" s="5"/>
      <c r="GR164" s="5"/>
      <c r="GS164" s="5"/>
      <c r="GT164" s="5"/>
      <c r="GU164" s="5"/>
      <c r="GV164" s="5"/>
      <c r="GW164" s="5"/>
      <c r="GX164" s="5"/>
      <c r="GY164" s="5"/>
      <c r="GZ164" s="5"/>
    </row>
    <row r="165" spans="5:208" ht="11.1" customHeight="1" x14ac:dyDescent="0.25">
      <c r="F165" s="54"/>
      <c r="G165" s="306"/>
      <c r="H165" s="307"/>
      <c r="I165" s="307"/>
      <c r="J165" s="307"/>
      <c r="K165" s="307"/>
      <c r="L165" s="307"/>
      <c r="M165" s="307"/>
      <c r="N165" s="307"/>
      <c r="O165" s="307"/>
      <c r="P165" s="307"/>
      <c r="Q165" s="307"/>
      <c r="R165" s="307"/>
      <c r="S165" s="307"/>
      <c r="T165" s="307"/>
      <c r="U165" s="307"/>
      <c r="V165" s="307"/>
      <c r="W165" s="307"/>
      <c r="X165" s="307"/>
      <c r="Y165" s="307"/>
      <c r="Z165" s="307"/>
      <c r="AA165" s="307"/>
      <c r="AB165" s="307"/>
      <c r="AC165" s="307"/>
      <c r="AD165" s="307"/>
      <c r="AE165" s="307"/>
      <c r="AF165" s="307"/>
      <c r="AG165" s="307"/>
      <c r="AH165" s="307"/>
      <c r="AI165" s="308"/>
      <c r="AJ165" s="5"/>
      <c r="AK165" s="281">
        <v>21</v>
      </c>
      <c r="AL165" s="282"/>
      <c r="AM165" s="279"/>
      <c r="AN165" s="280"/>
      <c r="AO165" s="277">
        <f t="shared" si="6"/>
        <v>0</v>
      </c>
      <c r="AP165" s="278"/>
      <c r="AQ165" s="269">
        <f t="shared" si="5"/>
        <v>0</v>
      </c>
      <c r="AR165" s="270"/>
      <c r="AS165" s="270"/>
      <c r="AT165" s="270"/>
      <c r="AU165" s="270"/>
      <c r="AV165" s="270"/>
      <c r="AW165" s="271"/>
      <c r="AX165" s="42"/>
      <c r="AY165" s="11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5"/>
      <c r="DM165" s="5"/>
      <c r="DX165" s="5"/>
      <c r="DY165" s="5"/>
      <c r="DZ165" s="5"/>
      <c r="EA165" s="5"/>
      <c r="EB165" s="5"/>
      <c r="EC165" s="5"/>
      <c r="ED165" s="5"/>
      <c r="EE165" s="5"/>
      <c r="EF165" s="5"/>
      <c r="EG165" s="5"/>
      <c r="EH165" s="5"/>
      <c r="EI165" s="5"/>
      <c r="EJ165" s="5"/>
      <c r="EK165" s="5"/>
      <c r="EL165" s="5"/>
      <c r="EM165" s="5"/>
      <c r="EN165" s="5"/>
      <c r="EO165" s="5"/>
      <c r="EP165" s="5"/>
      <c r="EQ165" s="5"/>
      <c r="ER165" s="5"/>
      <c r="ES165" s="5"/>
      <c r="ET165" s="5"/>
      <c r="EU165" s="5"/>
      <c r="EV165" s="5"/>
      <c r="EW165" s="5"/>
      <c r="EX165" s="5"/>
      <c r="EY165" s="5"/>
      <c r="EZ165" s="5"/>
      <c r="FA165" s="5"/>
      <c r="FB165" s="5"/>
      <c r="FC165" s="5"/>
      <c r="FD165" s="5"/>
      <c r="FE165" s="5"/>
      <c r="FF165" s="5"/>
      <c r="FG165" s="5"/>
      <c r="FH165" s="5"/>
      <c r="FI165" s="5"/>
      <c r="FJ165" s="5"/>
      <c r="FK165" s="5"/>
      <c r="FL165" s="5"/>
      <c r="FM165" s="5"/>
      <c r="FN165" s="5"/>
      <c r="FO165" s="5"/>
      <c r="FP165" s="5"/>
      <c r="FQ165" s="5"/>
      <c r="FR165" s="5"/>
      <c r="FS165" s="5"/>
      <c r="FT165" s="5"/>
      <c r="FU165" s="5"/>
      <c r="FV165" s="5"/>
      <c r="FW165" s="5"/>
      <c r="FX165" s="5"/>
      <c r="FY165" s="5"/>
      <c r="FZ165" s="5"/>
      <c r="GA165" s="5"/>
      <c r="GB165" s="5"/>
      <c r="GC165" s="5"/>
      <c r="GD165" s="5"/>
      <c r="GE165" s="5"/>
      <c r="GF165" s="5"/>
      <c r="GG165" s="5"/>
      <c r="GH165" s="5"/>
      <c r="GI165" s="5"/>
      <c r="GJ165" s="5"/>
      <c r="GK165" s="5"/>
      <c r="GL165" s="5"/>
      <c r="GM165" s="5"/>
      <c r="GN165" s="5"/>
      <c r="GO165" s="5"/>
      <c r="GP165" s="5"/>
      <c r="GQ165" s="5"/>
      <c r="GR165" s="5"/>
      <c r="GS165" s="5"/>
      <c r="GT165" s="5"/>
      <c r="GU165" s="5"/>
      <c r="GV165" s="5"/>
      <c r="GW165" s="5"/>
      <c r="GX165" s="5"/>
      <c r="GY165" s="5"/>
      <c r="GZ165" s="5"/>
    </row>
    <row r="166" spans="5:208" ht="11.1" customHeight="1" x14ac:dyDescent="0.25">
      <c r="F166" s="54"/>
      <c r="G166" s="309"/>
      <c r="H166" s="276"/>
      <c r="I166" s="276"/>
      <c r="J166" s="276"/>
      <c r="K166" s="276"/>
      <c r="L166" s="276"/>
      <c r="M166" s="276"/>
      <c r="N166" s="276"/>
      <c r="O166" s="276"/>
      <c r="P166" s="276"/>
      <c r="Q166" s="276"/>
      <c r="R166" s="276"/>
      <c r="S166" s="276"/>
      <c r="T166" s="276"/>
      <c r="U166" s="276"/>
      <c r="V166" s="276"/>
      <c r="W166" s="276"/>
      <c r="X166" s="276"/>
      <c r="Y166" s="276"/>
      <c r="Z166" s="276"/>
      <c r="AA166" s="276"/>
      <c r="AB166" s="276"/>
      <c r="AC166" s="276"/>
      <c r="AD166" s="276"/>
      <c r="AE166" s="276"/>
      <c r="AF166" s="276"/>
      <c r="AG166" s="276"/>
      <c r="AH166" s="276"/>
      <c r="AI166" s="310"/>
      <c r="AJ166" s="5"/>
      <c r="AK166" s="281">
        <v>22</v>
      </c>
      <c r="AL166" s="282"/>
      <c r="AM166" s="279"/>
      <c r="AN166" s="280"/>
      <c r="AO166" s="277">
        <f t="shared" si="6"/>
        <v>0</v>
      </c>
      <c r="AP166" s="278"/>
      <c r="AQ166" s="269">
        <f t="shared" si="5"/>
        <v>0</v>
      </c>
      <c r="AR166" s="270"/>
      <c r="AS166" s="270"/>
      <c r="AT166" s="270"/>
      <c r="AU166" s="270"/>
      <c r="AV166" s="270"/>
      <c r="AW166" s="271"/>
      <c r="AX166" s="42"/>
      <c r="AY166" s="11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X166" s="5"/>
      <c r="DY166" s="5"/>
      <c r="DZ166" s="5"/>
      <c r="EA166" s="5"/>
      <c r="EB166" s="5"/>
      <c r="EC166" s="5"/>
      <c r="ED166" s="5"/>
      <c r="EE166" s="5"/>
      <c r="EF166" s="5"/>
      <c r="EG166" s="5"/>
      <c r="EH166" s="5"/>
      <c r="EI166" s="5"/>
      <c r="EJ166" s="5"/>
      <c r="EK166" s="5"/>
      <c r="EL166" s="5"/>
      <c r="EM166" s="5"/>
      <c r="EN166" s="5"/>
      <c r="EO166" s="5"/>
      <c r="EP166" s="5"/>
      <c r="EQ166" s="5"/>
      <c r="ER166" s="5"/>
      <c r="ES166" s="5"/>
      <c r="ET166" s="5"/>
      <c r="EU166" s="5"/>
      <c r="EV166" s="5"/>
      <c r="EW166" s="5"/>
      <c r="EX166" s="5"/>
      <c r="EY166" s="5"/>
      <c r="EZ166" s="5"/>
      <c r="FA166" s="5"/>
      <c r="FB166" s="5"/>
      <c r="FC166" s="5"/>
      <c r="FD166" s="5"/>
      <c r="FE166" s="5"/>
      <c r="FF166" s="5"/>
      <c r="FG166" s="5"/>
      <c r="FH166" s="5"/>
      <c r="FI166" s="5"/>
      <c r="FJ166" s="5"/>
      <c r="FK166" s="5"/>
      <c r="FL166" s="5"/>
      <c r="FM166" s="5"/>
      <c r="FN166" s="5"/>
      <c r="FO166" s="5"/>
      <c r="FP166" s="5"/>
      <c r="FQ166" s="5"/>
      <c r="FR166" s="5"/>
      <c r="FS166" s="5"/>
      <c r="FT166" s="5"/>
      <c r="FU166" s="5"/>
      <c r="FV166" s="5"/>
      <c r="FW166" s="5"/>
      <c r="FX166" s="5"/>
      <c r="FY166" s="5"/>
      <c r="FZ166" s="5"/>
      <c r="GA166" s="5"/>
      <c r="GB166" s="5"/>
      <c r="GC166" s="5"/>
      <c r="GD166" s="5"/>
      <c r="GE166" s="5"/>
      <c r="GF166" s="5"/>
      <c r="GG166" s="5"/>
      <c r="GH166" s="5"/>
      <c r="GI166" s="5"/>
      <c r="GJ166" s="5"/>
      <c r="GK166" s="5"/>
      <c r="GL166" s="5"/>
      <c r="GM166" s="5"/>
      <c r="GN166" s="5"/>
      <c r="GO166" s="5"/>
      <c r="GP166" s="5"/>
      <c r="GQ166" s="5"/>
      <c r="GR166" s="5"/>
      <c r="GS166" s="5"/>
      <c r="GT166" s="5"/>
      <c r="GU166" s="5"/>
      <c r="GV166" s="5"/>
      <c r="GW166" s="5"/>
      <c r="GX166" s="5"/>
      <c r="GY166" s="5"/>
      <c r="GZ166" s="5"/>
    </row>
    <row r="167" spans="5:208" ht="11.1" customHeight="1" x14ac:dyDescent="0.25">
      <c r="F167" s="54"/>
      <c r="G167" s="309"/>
      <c r="H167" s="276"/>
      <c r="I167" s="276"/>
      <c r="J167" s="276"/>
      <c r="K167" s="276"/>
      <c r="L167" s="276"/>
      <c r="M167" s="276"/>
      <c r="N167" s="276"/>
      <c r="O167" s="276"/>
      <c r="P167" s="276"/>
      <c r="Q167" s="276"/>
      <c r="R167" s="276"/>
      <c r="S167" s="276"/>
      <c r="T167" s="276"/>
      <c r="U167" s="276"/>
      <c r="V167" s="276"/>
      <c r="W167" s="276"/>
      <c r="X167" s="276"/>
      <c r="Y167" s="276"/>
      <c r="Z167" s="276"/>
      <c r="AA167" s="276"/>
      <c r="AB167" s="276"/>
      <c r="AC167" s="276"/>
      <c r="AD167" s="276"/>
      <c r="AE167" s="276"/>
      <c r="AF167" s="276"/>
      <c r="AG167" s="276"/>
      <c r="AH167" s="276"/>
      <c r="AI167" s="310"/>
      <c r="AJ167" s="5"/>
      <c r="AK167" s="281">
        <v>23</v>
      </c>
      <c r="AL167" s="282"/>
      <c r="AM167" s="279"/>
      <c r="AN167" s="280"/>
      <c r="AO167" s="277">
        <f t="shared" si="6"/>
        <v>0</v>
      </c>
      <c r="AP167" s="278"/>
      <c r="AQ167" s="269">
        <f t="shared" si="5"/>
        <v>0</v>
      </c>
      <c r="AR167" s="270"/>
      <c r="AS167" s="270"/>
      <c r="AT167" s="270"/>
      <c r="AU167" s="270"/>
      <c r="AV167" s="270"/>
      <c r="AW167" s="271"/>
      <c r="AX167" s="42"/>
      <c r="AY167" s="11"/>
      <c r="AZ167" s="5"/>
      <c r="BA167" s="5"/>
      <c r="CE167" s="98"/>
      <c r="CF167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5"/>
      <c r="DN167" s="5"/>
      <c r="DO167" s="5"/>
      <c r="DP167" s="5"/>
      <c r="DQ167" s="5"/>
      <c r="DR167" s="5"/>
      <c r="DS167" s="5"/>
      <c r="DT167" s="5"/>
      <c r="DU167" s="5"/>
      <c r="DV167" s="5"/>
      <c r="DW167" s="5"/>
      <c r="DX167" s="5"/>
      <c r="DY167" s="5"/>
      <c r="DZ167" s="5"/>
      <c r="EA167" s="5"/>
      <c r="EB167" s="5"/>
      <c r="EC167" s="5"/>
      <c r="ED167" s="5"/>
      <c r="EE167" s="5"/>
      <c r="EF167" s="5"/>
      <c r="EG167" s="5"/>
      <c r="EH167" s="5"/>
      <c r="EI167" s="5"/>
      <c r="EJ167" s="5"/>
      <c r="EK167" s="5"/>
      <c r="EL167" s="5"/>
      <c r="EM167" s="5"/>
      <c r="EN167" s="5"/>
      <c r="EO167" s="5"/>
      <c r="EP167" s="5"/>
      <c r="EQ167" s="5"/>
      <c r="ER167" s="5"/>
      <c r="ES167" s="5"/>
      <c r="ET167" s="5"/>
      <c r="EU167" s="5"/>
      <c r="EV167" s="5"/>
      <c r="EW167" s="5"/>
      <c r="EX167" s="5"/>
      <c r="EY167" s="5"/>
      <c r="EZ167" s="5"/>
      <c r="FA167" s="5"/>
      <c r="FB167" s="5"/>
      <c r="FC167" s="5"/>
      <c r="FD167" s="5"/>
      <c r="FE167" s="5"/>
      <c r="FF167" s="5"/>
      <c r="FG167" s="5"/>
      <c r="FH167" s="5"/>
      <c r="FI167" s="5"/>
      <c r="FJ167" s="5"/>
      <c r="FK167" s="5"/>
      <c r="FL167" s="5"/>
      <c r="FM167" s="5"/>
      <c r="FN167" s="5"/>
      <c r="FO167" s="5"/>
      <c r="FP167" s="5"/>
      <c r="FQ167" s="5"/>
      <c r="FR167" s="5"/>
      <c r="FS167" s="5"/>
      <c r="FT167" s="5"/>
      <c r="FU167" s="5"/>
      <c r="FV167" s="5"/>
      <c r="FW167" s="5"/>
      <c r="FX167" s="5"/>
      <c r="FY167" s="5"/>
      <c r="FZ167" s="5"/>
      <c r="GA167" s="5"/>
      <c r="GB167" s="5"/>
      <c r="GC167" s="5"/>
      <c r="GD167" s="5"/>
      <c r="GE167" s="5"/>
      <c r="GF167" s="5"/>
      <c r="GG167" s="5"/>
      <c r="GH167" s="5"/>
      <c r="GI167" s="5"/>
      <c r="GJ167" s="5"/>
      <c r="GK167" s="5"/>
      <c r="GL167" s="5"/>
      <c r="GM167" s="5"/>
      <c r="GN167" s="5"/>
      <c r="GO167" s="5"/>
      <c r="GP167" s="5"/>
      <c r="GQ167" s="5"/>
      <c r="GR167" s="5"/>
      <c r="GS167" s="5"/>
      <c r="GT167" s="5"/>
      <c r="GU167" s="5"/>
      <c r="GV167" s="5"/>
      <c r="GW167" s="5"/>
      <c r="GX167" s="5"/>
      <c r="GY167" s="5"/>
      <c r="GZ167" s="5"/>
    </row>
    <row r="168" spans="5:208" ht="11.1" customHeight="1" x14ac:dyDescent="0.25">
      <c r="F168" s="54"/>
      <c r="G168" s="311"/>
      <c r="H168" s="312"/>
      <c r="I168" s="312"/>
      <c r="J168" s="312"/>
      <c r="K168" s="312"/>
      <c r="L168" s="312"/>
      <c r="M168" s="312"/>
      <c r="N168" s="312"/>
      <c r="O168" s="312"/>
      <c r="P168" s="312"/>
      <c r="Q168" s="312"/>
      <c r="R168" s="312"/>
      <c r="S168" s="312"/>
      <c r="T168" s="312"/>
      <c r="U168" s="312"/>
      <c r="V168" s="312"/>
      <c r="W168" s="312"/>
      <c r="X168" s="312"/>
      <c r="Y168" s="312"/>
      <c r="Z168" s="312"/>
      <c r="AA168" s="312"/>
      <c r="AB168" s="312"/>
      <c r="AC168" s="312"/>
      <c r="AD168" s="312"/>
      <c r="AE168" s="312"/>
      <c r="AF168" s="312"/>
      <c r="AG168" s="312"/>
      <c r="AH168" s="312"/>
      <c r="AI168" s="313"/>
      <c r="AJ168" s="5"/>
      <c r="AK168" s="281">
        <v>24</v>
      </c>
      <c r="AL168" s="282"/>
      <c r="AM168" s="279"/>
      <c r="AN168" s="280"/>
      <c r="AO168" s="277">
        <f t="shared" si="6"/>
        <v>0</v>
      </c>
      <c r="AP168" s="278"/>
      <c r="AQ168" s="269">
        <f t="shared" si="5"/>
        <v>0</v>
      </c>
      <c r="AR168" s="270"/>
      <c r="AS168" s="270"/>
      <c r="AT168" s="270"/>
      <c r="AU168" s="270"/>
      <c r="AV168" s="270"/>
      <c r="AW168" s="271"/>
      <c r="AX168" s="42"/>
      <c r="AY168" s="11"/>
      <c r="BA168" s="5"/>
      <c r="CE168"/>
      <c r="CF168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5"/>
      <c r="DO168" s="5"/>
      <c r="DP168" s="5"/>
      <c r="DQ168" s="5"/>
      <c r="DR168" s="5"/>
      <c r="DS168" s="5"/>
      <c r="DT168" s="5"/>
      <c r="DU168" s="5"/>
      <c r="DV168" s="5"/>
      <c r="DW168" s="5"/>
      <c r="DX168" s="5"/>
      <c r="DY168" s="5"/>
      <c r="DZ168" s="5"/>
      <c r="EA168" s="5"/>
      <c r="EB168" s="5"/>
      <c r="EC168" s="5"/>
      <c r="ED168" s="5"/>
      <c r="EE168" s="5"/>
      <c r="EF168" s="5"/>
      <c r="EG168" s="5"/>
      <c r="EH168" s="5"/>
      <c r="EI168" s="5"/>
      <c r="EJ168" s="5"/>
      <c r="EK168" s="5"/>
      <c r="EL168" s="5"/>
      <c r="EM168" s="5"/>
      <c r="EN168" s="5"/>
      <c r="EO168" s="5"/>
      <c r="EP168" s="5"/>
      <c r="EQ168" s="5"/>
      <c r="ER168" s="5"/>
      <c r="ES168" s="5"/>
      <c r="ET168" s="5"/>
      <c r="EU168" s="5"/>
      <c r="EV168" s="5"/>
      <c r="EW168" s="5"/>
      <c r="EX168" s="5"/>
      <c r="EY168" s="5"/>
      <c r="EZ168" s="5"/>
      <c r="FA168" s="5"/>
      <c r="FB168" s="5"/>
      <c r="FC168" s="5"/>
      <c r="FD168" s="5"/>
      <c r="FE168" s="5"/>
      <c r="FF168" s="5"/>
      <c r="FG168" s="5"/>
      <c r="FH168" s="5"/>
      <c r="FI168" s="5"/>
      <c r="FJ168" s="5"/>
      <c r="FK168" s="5"/>
      <c r="FL168" s="5"/>
      <c r="FM168" s="5"/>
      <c r="FN168" s="5"/>
      <c r="FO168" s="5"/>
      <c r="FP168" s="5"/>
      <c r="FQ168" s="5"/>
      <c r="FR168" s="5"/>
      <c r="FS168" s="5"/>
      <c r="FT168" s="5"/>
      <c r="FU168" s="5"/>
      <c r="FV168" s="5"/>
      <c r="FW168" s="5"/>
      <c r="FX168" s="5"/>
      <c r="FY168" s="5"/>
      <c r="FZ168" s="5"/>
      <c r="GA168" s="5"/>
      <c r="GB168" s="5"/>
      <c r="GC168" s="5"/>
      <c r="GD168" s="5"/>
      <c r="GE168" s="5"/>
      <c r="GF168" s="5"/>
      <c r="GG168" s="5"/>
      <c r="GH168" s="5"/>
      <c r="GI168" s="5"/>
      <c r="GJ168" s="5"/>
      <c r="GK168" s="5"/>
      <c r="GL168" s="5"/>
      <c r="GM168" s="5"/>
      <c r="GN168" s="5"/>
      <c r="GO168" s="5"/>
      <c r="GP168" s="5"/>
      <c r="GQ168" s="5"/>
      <c r="GR168" s="5"/>
      <c r="GS168" s="5"/>
      <c r="GT168" s="5"/>
      <c r="GU168" s="5"/>
      <c r="GV168" s="5"/>
      <c r="GW168" s="5"/>
      <c r="GX168" s="5"/>
      <c r="GY168" s="5"/>
      <c r="GZ168" s="5"/>
    </row>
    <row r="169" spans="5:208" ht="3.9" customHeight="1" x14ac:dyDescent="0.25">
      <c r="E169" s="9" t="s">
        <v>9</v>
      </c>
      <c r="F169" s="54"/>
      <c r="G169" s="11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  <c r="AA169" s="11"/>
      <c r="AB169" s="11"/>
      <c r="AC169" s="11"/>
      <c r="AD169" s="11"/>
      <c r="AE169" s="11"/>
      <c r="AF169" s="11"/>
      <c r="AG169" s="11"/>
      <c r="AH169" s="11"/>
      <c r="AI169" s="11"/>
      <c r="AJ169" s="11"/>
      <c r="AK169" s="11"/>
      <c r="AL169" s="11"/>
      <c r="AM169" s="11"/>
      <c r="AN169" s="11"/>
      <c r="AO169" s="11"/>
      <c r="AP169" s="11"/>
      <c r="AQ169" s="11"/>
      <c r="AR169" s="11"/>
      <c r="AS169" s="11"/>
      <c r="AT169" s="11"/>
      <c r="AU169" s="11"/>
      <c r="AV169" s="11"/>
      <c r="AW169" s="11"/>
      <c r="AY169" s="11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5"/>
      <c r="DO169" s="5"/>
      <c r="DP169" s="5"/>
      <c r="DQ169" s="5"/>
      <c r="DR169" s="5"/>
      <c r="DS169" s="5"/>
      <c r="DT169" s="5"/>
      <c r="DU169" s="5"/>
      <c r="DV169" s="5"/>
      <c r="DW169" s="5"/>
      <c r="DX169" s="5"/>
      <c r="DY169" s="5"/>
      <c r="DZ169" s="5"/>
      <c r="EA169" s="5"/>
      <c r="EB169" s="5"/>
      <c r="EC169" s="5"/>
      <c r="ED169" s="5"/>
      <c r="EE169" s="5"/>
      <c r="EF169" s="5"/>
      <c r="EG169" s="5"/>
      <c r="EH169" s="5"/>
      <c r="EI169" s="5"/>
      <c r="EJ169" s="5"/>
      <c r="EK169" s="5"/>
      <c r="EL169" s="5"/>
      <c r="EM169" s="5"/>
      <c r="EN169" s="5"/>
      <c r="EO169" s="5"/>
      <c r="EP169" s="5"/>
      <c r="EQ169" s="5"/>
      <c r="ER169" s="5"/>
      <c r="ES169" s="5"/>
      <c r="ET169" s="5"/>
      <c r="EU169" s="5"/>
      <c r="EV169" s="5"/>
      <c r="EW169" s="5"/>
      <c r="EX169" s="5"/>
      <c r="EY169" s="5"/>
      <c r="EZ169" s="5"/>
      <c r="FA169" s="5"/>
      <c r="FB169" s="5"/>
      <c r="FC169" s="5"/>
      <c r="FD169" s="5"/>
      <c r="FE169" s="5"/>
      <c r="FF169" s="5"/>
      <c r="FG169" s="5"/>
      <c r="FH169" s="5"/>
      <c r="FI169" s="5"/>
      <c r="FJ169" s="5"/>
      <c r="FK169" s="5"/>
      <c r="FL169" s="5"/>
      <c r="FM169" s="5"/>
      <c r="FN169" s="5"/>
      <c r="FO169" s="5"/>
      <c r="FP169" s="5"/>
      <c r="FQ169" s="5"/>
      <c r="FR169" s="5"/>
      <c r="FS169" s="5"/>
      <c r="FT169" s="5"/>
      <c r="FU169" s="5"/>
      <c r="FV169" s="5"/>
      <c r="FW169" s="5"/>
      <c r="FX169" s="5"/>
      <c r="FY169" s="5"/>
      <c r="FZ169" s="5"/>
      <c r="GA169" s="5"/>
      <c r="GB169" s="5"/>
      <c r="GC169" s="5"/>
      <c r="GD169" s="5"/>
      <c r="GE169" s="5"/>
      <c r="GF169" s="5"/>
      <c r="GG169" s="5"/>
      <c r="GH169" s="5"/>
      <c r="GI169" s="5"/>
      <c r="GJ169" s="5"/>
      <c r="GK169" s="5"/>
      <c r="GL169" s="5"/>
      <c r="GM169" s="5"/>
      <c r="GN169" s="5"/>
      <c r="GO169" s="5"/>
      <c r="GP169" s="5"/>
      <c r="GQ169" s="5"/>
      <c r="GR169" s="5"/>
      <c r="GS169" s="5"/>
      <c r="GT169" s="5"/>
      <c r="GU169" s="5"/>
      <c r="GV169" s="5"/>
      <c r="GW169" s="5"/>
      <c r="GX169" s="5"/>
      <c r="GY169" s="5"/>
      <c r="GZ169" s="5"/>
    </row>
    <row r="170" spans="5:208" ht="11.1" customHeight="1" x14ac:dyDescent="0.25">
      <c r="F170" s="54"/>
      <c r="G170" s="209" t="s">
        <v>445</v>
      </c>
      <c r="H170" s="275"/>
      <c r="I170" s="275"/>
      <c r="J170" s="275"/>
      <c r="K170" s="275"/>
      <c r="L170" s="275"/>
      <c r="M170" s="275"/>
      <c r="N170" s="275"/>
      <c r="O170" s="275"/>
      <c r="P170" s="275"/>
      <c r="Q170" s="275"/>
      <c r="R170" s="275"/>
      <c r="S170" s="275"/>
      <c r="T170" s="275"/>
      <c r="U170" s="275"/>
      <c r="V170" s="275"/>
      <c r="W170" s="275"/>
      <c r="X170" s="275"/>
      <c r="Y170" s="275"/>
      <c r="Z170" s="275"/>
      <c r="AA170" s="275"/>
      <c r="AB170" s="275"/>
      <c r="AC170" s="275"/>
      <c r="AD170" s="275"/>
      <c r="AE170" s="275"/>
      <c r="AF170" s="275"/>
      <c r="AG170" s="275"/>
      <c r="AH170" s="275"/>
      <c r="AI170" s="275"/>
      <c r="AJ170" s="275"/>
      <c r="AK170" s="275"/>
      <c r="AL170" s="275"/>
      <c r="AM170" s="275"/>
      <c r="AN170" s="275"/>
      <c r="AO170" s="275"/>
      <c r="AP170" s="275"/>
      <c r="AQ170" s="275"/>
      <c r="AR170" s="275"/>
      <c r="AS170" s="275"/>
      <c r="AT170" s="275"/>
      <c r="AU170" s="275"/>
      <c r="AV170" s="275"/>
      <c r="AW170" s="275"/>
      <c r="AY170" s="11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5"/>
      <c r="DO170" s="5"/>
      <c r="DP170" s="5"/>
      <c r="DQ170" s="5"/>
      <c r="DR170" s="5"/>
      <c r="DS170" s="5"/>
      <c r="DT170" s="5"/>
      <c r="DU170" s="5"/>
      <c r="DV170" s="5"/>
      <c r="DW170" s="5"/>
      <c r="DX170" s="5"/>
      <c r="DY170" s="5"/>
      <c r="DZ170" s="5"/>
      <c r="EA170" s="5"/>
      <c r="EB170" s="5"/>
      <c r="EC170" s="5"/>
      <c r="ED170" s="5"/>
      <c r="EE170" s="5"/>
      <c r="EF170" s="5"/>
      <c r="EG170" s="5"/>
      <c r="EH170" s="5"/>
      <c r="EI170" s="5"/>
      <c r="EJ170" s="5"/>
      <c r="EK170" s="5"/>
      <c r="EL170" s="5"/>
      <c r="EM170" s="5"/>
      <c r="EN170" s="5"/>
      <c r="EO170" s="5"/>
      <c r="EP170" s="5"/>
      <c r="EQ170" s="5"/>
      <c r="ER170" s="5"/>
      <c r="ES170" s="5"/>
      <c r="ET170" s="5"/>
      <c r="EU170" s="5"/>
      <c r="EV170" s="5"/>
      <c r="EW170" s="5"/>
      <c r="EX170" s="5"/>
      <c r="EY170" s="5"/>
      <c r="EZ170" s="5"/>
      <c r="FA170" s="5"/>
      <c r="FB170" s="5"/>
      <c r="FC170" s="5"/>
      <c r="FD170" s="5"/>
      <c r="FE170" s="5"/>
      <c r="FF170" s="5"/>
      <c r="FG170" s="5"/>
      <c r="FH170" s="5"/>
      <c r="FI170" s="5"/>
      <c r="FJ170" s="5"/>
      <c r="FK170" s="5"/>
      <c r="FL170" s="5"/>
      <c r="FM170" s="5"/>
      <c r="FN170" s="5"/>
      <c r="FO170" s="5"/>
      <c r="FP170" s="5"/>
      <c r="FQ170" s="5"/>
      <c r="FR170" s="5"/>
      <c r="FS170" s="5"/>
      <c r="FT170" s="5"/>
      <c r="FU170" s="5"/>
      <c r="FV170" s="5"/>
      <c r="FW170" s="5"/>
      <c r="FX170" s="5"/>
      <c r="FY170" s="5"/>
      <c r="FZ170" s="5"/>
      <c r="GA170" s="5"/>
      <c r="GB170" s="5"/>
      <c r="GC170" s="5"/>
      <c r="GD170" s="5"/>
      <c r="GE170" s="5"/>
      <c r="GF170" s="5"/>
      <c r="GG170" s="5"/>
      <c r="GH170" s="5"/>
      <c r="GI170" s="5"/>
      <c r="GJ170" s="5"/>
      <c r="GK170" s="5"/>
      <c r="GL170" s="5"/>
      <c r="GM170" s="5"/>
      <c r="GN170" s="5"/>
      <c r="GO170" s="5"/>
      <c r="GP170" s="5"/>
      <c r="GQ170" s="5"/>
      <c r="GR170" s="5"/>
      <c r="GS170" s="5"/>
      <c r="GT170" s="5"/>
      <c r="GU170" s="5"/>
      <c r="GV170" s="5"/>
      <c r="GW170" s="5"/>
      <c r="GX170" s="5"/>
      <c r="GY170" s="5"/>
      <c r="GZ170" s="5"/>
    </row>
    <row r="171" spans="5:208" ht="11.1" customHeight="1" x14ac:dyDescent="0.25">
      <c r="F171" s="54"/>
      <c r="G171" s="276"/>
      <c r="H171" s="276"/>
      <c r="I171" s="276"/>
      <c r="J171" s="276"/>
      <c r="K171" s="276"/>
      <c r="L171" s="276"/>
      <c r="M171" s="276"/>
      <c r="N171" s="276"/>
      <c r="O171" s="276"/>
      <c r="P171" s="276"/>
      <c r="Q171" s="276"/>
      <c r="R171" s="276"/>
      <c r="S171" s="276"/>
      <c r="T171" s="276"/>
      <c r="U171" s="276"/>
      <c r="V171" s="276"/>
      <c r="W171" s="276"/>
      <c r="X171" s="276"/>
      <c r="Y171" s="276"/>
      <c r="Z171" s="276"/>
      <c r="AA171" s="276"/>
      <c r="AB171" s="276"/>
      <c r="AC171" s="276"/>
      <c r="AD171" s="276"/>
      <c r="AE171" s="276"/>
      <c r="AF171" s="276"/>
      <c r="AG171" s="276"/>
      <c r="AH171" s="276"/>
      <c r="AI171" s="276"/>
      <c r="AJ171" s="276"/>
      <c r="AK171" s="276"/>
      <c r="AL171" s="276"/>
      <c r="AM171" s="276"/>
      <c r="AN171" s="276"/>
      <c r="AO171" s="276"/>
      <c r="AP171" s="276"/>
      <c r="AQ171" s="276"/>
      <c r="AR171" s="276"/>
      <c r="AS171" s="276"/>
      <c r="AT171" s="276"/>
      <c r="AU171" s="276"/>
      <c r="AV171" s="276"/>
      <c r="AW171" s="276"/>
      <c r="AY171" s="11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5"/>
      <c r="DO171" s="5"/>
      <c r="DP171" s="5"/>
      <c r="DQ171" s="5"/>
      <c r="DR171" s="5"/>
      <c r="DS171" s="5"/>
      <c r="DT171" s="5"/>
      <c r="DU171" s="5"/>
      <c r="DV171" s="5"/>
      <c r="DW171" s="5"/>
      <c r="DX171" s="5"/>
      <c r="DY171" s="5"/>
      <c r="DZ171" s="5"/>
      <c r="EA171" s="5"/>
      <c r="EB171" s="5"/>
      <c r="EC171" s="5"/>
      <c r="ED171" s="5"/>
      <c r="EE171" s="5"/>
      <c r="EF171" s="5"/>
      <c r="EG171" s="5"/>
      <c r="EH171" s="5"/>
      <c r="EI171" s="5"/>
      <c r="EJ171" s="5"/>
      <c r="EK171" s="5"/>
      <c r="EL171" s="5"/>
      <c r="EM171" s="5"/>
      <c r="EN171" s="5"/>
      <c r="EO171" s="5"/>
      <c r="EP171" s="5"/>
      <c r="EQ171" s="5"/>
      <c r="ER171" s="5"/>
      <c r="ES171" s="5"/>
      <c r="ET171" s="5"/>
      <c r="EU171" s="5"/>
      <c r="EV171" s="5"/>
      <c r="EW171" s="5"/>
      <c r="EX171" s="5"/>
      <c r="EY171" s="5"/>
      <c r="EZ171" s="5"/>
      <c r="FA171" s="5"/>
      <c r="FB171" s="5"/>
      <c r="FC171" s="5"/>
      <c r="FD171" s="5"/>
      <c r="FE171" s="5"/>
      <c r="FF171" s="5"/>
      <c r="FG171" s="5"/>
      <c r="FH171" s="5"/>
      <c r="FI171" s="5"/>
      <c r="FJ171" s="5"/>
      <c r="FK171" s="5"/>
      <c r="FL171" s="5"/>
      <c r="FM171" s="5"/>
      <c r="FN171" s="5"/>
      <c r="FO171" s="5"/>
      <c r="FP171" s="5"/>
      <c r="FQ171" s="5"/>
      <c r="FR171" s="5"/>
      <c r="FS171" s="5"/>
      <c r="FT171" s="5"/>
      <c r="FU171" s="5"/>
      <c r="FV171" s="5"/>
      <c r="FW171" s="5"/>
      <c r="FX171" s="5"/>
      <c r="FY171" s="5"/>
      <c r="FZ171" s="5"/>
      <c r="GA171" s="5"/>
      <c r="GB171" s="5"/>
      <c r="GC171" s="5"/>
      <c r="GD171" s="5"/>
      <c r="GE171" s="5"/>
      <c r="GF171" s="5"/>
      <c r="GG171" s="5"/>
      <c r="GH171" s="5"/>
      <c r="GI171" s="5"/>
      <c r="GJ171" s="5"/>
      <c r="GK171" s="5"/>
      <c r="GL171" s="5"/>
      <c r="GM171" s="5"/>
      <c r="GN171" s="5"/>
      <c r="GO171" s="5"/>
      <c r="GP171" s="5"/>
      <c r="GQ171" s="5"/>
      <c r="GR171" s="5"/>
      <c r="GS171" s="5"/>
      <c r="GT171" s="5"/>
      <c r="GU171" s="5"/>
      <c r="GV171" s="5"/>
      <c r="GW171" s="5"/>
      <c r="GX171" s="5"/>
      <c r="GY171" s="5"/>
      <c r="GZ171" s="5"/>
    </row>
    <row r="172" spans="5:208" ht="11.1" customHeight="1" x14ac:dyDescent="0.25">
      <c r="F172" s="54"/>
      <c r="G172" s="276"/>
      <c r="H172" s="276"/>
      <c r="I172" s="276"/>
      <c r="J172" s="276"/>
      <c r="K172" s="276"/>
      <c r="L172" s="276"/>
      <c r="M172" s="276"/>
      <c r="N172" s="276"/>
      <c r="O172" s="276"/>
      <c r="P172" s="276"/>
      <c r="Q172" s="276"/>
      <c r="R172" s="276"/>
      <c r="S172" s="276"/>
      <c r="T172" s="276"/>
      <c r="U172" s="276"/>
      <c r="V172" s="276"/>
      <c r="W172" s="276"/>
      <c r="X172" s="276"/>
      <c r="Y172" s="276"/>
      <c r="Z172" s="276"/>
      <c r="AA172" s="276"/>
      <c r="AB172" s="276"/>
      <c r="AC172" s="276"/>
      <c r="AD172" s="276"/>
      <c r="AE172" s="276"/>
      <c r="AF172" s="276"/>
      <c r="AG172" s="276"/>
      <c r="AH172" s="276"/>
      <c r="AI172" s="276"/>
      <c r="AJ172" s="276"/>
      <c r="AK172" s="276"/>
      <c r="AL172" s="276"/>
      <c r="AM172" s="276"/>
      <c r="AN172" s="276"/>
      <c r="AO172" s="276"/>
      <c r="AP172" s="276"/>
      <c r="AQ172" s="276"/>
      <c r="AR172" s="276"/>
      <c r="AS172" s="276"/>
      <c r="AT172" s="276"/>
      <c r="AU172" s="276"/>
      <c r="AV172" s="276"/>
      <c r="AW172" s="276"/>
      <c r="AY172" s="11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5"/>
      <c r="DO172" s="5"/>
      <c r="DP172" s="5"/>
      <c r="DQ172" s="5"/>
      <c r="DR172" s="5"/>
      <c r="DS172" s="5"/>
      <c r="DT172" s="5"/>
      <c r="DU172" s="5"/>
      <c r="DV172" s="5"/>
      <c r="DW172" s="5"/>
      <c r="DX172" s="5"/>
      <c r="DY172" s="5"/>
      <c r="DZ172" s="5"/>
      <c r="EA172" s="5"/>
      <c r="EB172" s="5"/>
      <c r="EC172" s="5"/>
      <c r="ED172" s="5"/>
      <c r="EE172" s="5"/>
      <c r="EF172" s="5"/>
      <c r="EG172" s="5"/>
      <c r="EH172" s="5"/>
      <c r="EI172" s="5"/>
      <c r="EJ172" s="5"/>
      <c r="EK172" s="5"/>
      <c r="EL172" s="5"/>
      <c r="EM172" s="5"/>
      <c r="EN172" s="5"/>
      <c r="EO172" s="5"/>
      <c r="EP172" s="5"/>
      <c r="EQ172" s="5"/>
      <c r="ER172" s="5"/>
      <c r="ES172" s="5"/>
      <c r="ET172" s="5"/>
      <c r="EU172" s="5"/>
      <c r="EV172" s="5"/>
      <c r="EW172" s="5"/>
      <c r="EX172" s="5"/>
      <c r="EY172" s="5"/>
      <c r="EZ172" s="5"/>
      <c r="FA172" s="5"/>
      <c r="FB172" s="5"/>
      <c r="FC172" s="5"/>
      <c r="FD172" s="5"/>
      <c r="FE172" s="5"/>
      <c r="FF172" s="5"/>
      <c r="FG172" s="5"/>
      <c r="FH172" s="5"/>
      <c r="FI172" s="5"/>
      <c r="FJ172" s="5"/>
      <c r="FK172" s="5"/>
      <c r="FL172" s="5"/>
      <c r="FM172" s="5"/>
      <c r="FN172" s="5"/>
      <c r="FO172" s="5"/>
      <c r="FP172" s="5"/>
      <c r="FQ172" s="5"/>
      <c r="FR172" s="5"/>
      <c r="FS172" s="5"/>
      <c r="FT172" s="5"/>
      <c r="FU172" s="5"/>
      <c r="FV172" s="5"/>
      <c r="FW172" s="5"/>
      <c r="FX172" s="5"/>
      <c r="FY172" s="5"/>
      <c r="FZ172" s="5"/>
      <c r="GA172" s="5"/>
      <c r="GB172" s="5"/>
      <c r="GC172" s="5"/>
      <c r="GD172" s="5"/>
      <c r="GE172" s="5"/>
      <c r="GF172" s="5"/>
      <c r="GG172" s="5"/>
      <c r="GH172" s="5"/>
      <c r="GI172" s="5"/>
      <c r="GJ172" s="5"/>
      <c r="GK172" s="5"/>
      <c r="GL172" s="5"/>
      <c r="GM172" s="5"/>
      <c r="GN172" s="5"/>
      <c r="GO172" s="5"/>
      <c r="GP172" s="5"/>
      <c r="GQ172" s="5"/>
      <c r="GR172" s="5"/>
      <c r="GS172" s="5"/>
      <c r="GT172" s="5"/>
      <c r="GU172" s="5"/>
      <c r="GV172" s="5"/>
      <c r="GW172" s="5"/>
      <c r="GX172" s="5"/>
      <c r="GY172" s="5"/>
      <c r="GZ172" s="5"/>
    </row>
    <row r="173" spans="5:208" ht="11.1" customHeight="1" x14ac:dyDescent="0.25">
      <c r="F173" s="54"/>
      <c r="G173" s="276"/>
      <c r="H173" s="276"/>
      <c r="I173" s="276"/>
      <c r="J173" s="276"/>
      <c r="K173" s="276"/>
      <c r="L173" s="276"/>
      <c r="M173" s="276"/>
      <c r="N173" s="276"/>
      <c r="O173" s="276"/>
      <c r="P173" s="276"/>
      <c r="Q173" s="276"/>
      <c r="R173" s="276"/>
      <c r="S173" s="276"/>
      <c r="T173" s="276"/>
      <c r="U173" s="276"/>
      <c r="V173" s="276"/>
      <c r="W173" s="276"/>
      <c r="X173" s="276"/>
      <c r="Y173" s="276"/>
      <c r="Z173" s="276"/>
      <c r="AA173" s="276"/>
      <c r="AB173" s="276"/>
      <c r="AC173" s="276"/>
      <c r="AD173" s="276"/>
      <c r="AE173" s="276"/>
      <c r="AF173" s="276"/>
      <c r="AG173" s="276"/>
      <c r="AH173" s="276"/>
      <c r="AI173" s="276"/>
      <c r="AJ173" s="276"/>
      <c r="AK173" s="276"/>
      <c r="AL173" s="276"/>
      <c r="AM173" s="276"/>
      <c r="AN173" s="276"/>
      <c r="AO173" s="276"/>
      <c r="AP173" s="276"/>
      <c r="AQ173" s="276"/>
      <c r="AR173" s="276"/>
      <c r="AS173" s="276"/>
      <c r="AT173" s="276"/>
      <c r="AU173" s="276"/>
      <c r="AV173" s="276"/>
      <c r="AW173" s="276"/>
      <c r="AY173" s="11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5"/>
      <c r="DO173" s="5"/>
      <c r="DP173" s="5"/>
      <c r="DQ173" s="5"/>
      <c r="DR173" s="5"/>
      <c r="DS173" s="5"/>
      <c r="DT173" s="5"/>
      <c r="DU173" s="5"/>
      <c r="DV173" s="5"/>
      <c r="DW173" s="5"/>
      <c r="DX173" s="5"/>
      <c r="DY173" s="5"/>
      <c r="DZ173" s="5"/>
      <c r="EA173" s="5"/>
      <c r="EB173" s="5"/>
      <c r="EC173" s="5"/>
      <c r="ED173" s="5"/>
      <c r="EE173" s="5"/>
      <c r="EF173" s="5"/>
      <c r="EG173" s="5"/>
      <c r="EH173" s="5"/>
      <c r="EI173" s="5"/>
      <c r="EJ173" s="5"/>
      <c r="EK173" s="5"/>
      <c r="EL173" s="5"/>
      <c r="EM173" s="5"/>
      <c r="EN173" s="5"/>
      <c r="EO173" s="5"/>
      <c r="EP173" s="5"/>
      <c r="EQ173" s="5"/>
      <c r="ER173" s="5"/>
      <c r="ES173" s="5"/>
      <c r="ET173" s="5"/>
      <c r="EU173" s="5"/>
      <c r="EV173" s="5"/>
      <c r="EW173" s="5"/>
      <c r="EX173" s="5"/>
      <c r="EY173" s="5"/>
      <c r="EZ173" s="5"/>
      <c r="FA173" s="5"/>
      <c r="FB173" s="5"/>
      <c r="FC173" s="5"/>
      <c r="FD173" s="5"/>
      <c r="FE173" s="5"/>
      <c r="FF173" s="5"/>
      <c r="FG173" s="5"/>
      <c r="FH173" s="5"/>
      <c r="FI173" s="5"/>
      <c r="FJ173" s="5"/>
      <c r="FK173" s="5"/>
      <c r="FL173" s="5"/>
      <c r="FM173" s="5"/>
      <c r="FN173" s="5"/>
      <c r="FO173" s="5"/>
      <c r="FP173" s="5"/>
      <c r="FQ173" s="5"/>
      <c r="FR173" s="5"/>
      <c r="FS173" s="5"/>
      <c r="FT173" s="5"/>
      <c r="FU173" s="5"/>
      <c r="FV173" s="5"/>
      <c r="FW173" s="5"/>
      <c r="FX173" s="5"/>
      <c r="FY173" s="5"/>
      <c r="FZ173" s="5"/>
      <c r="GA173" s="5"/>
      <c r="GB173" s="5"/>
      <c r="GC173" s="5"/>
      <c r="GD173" s="5"/>
      <c r="GE173" s="5"/>
      <c r="GF173" s="5"/>
      <c r="GG173" s="5"/>
      <c r="GH173" s="5"/>
      <c r="GI173" s="5"/>
      <c r="GJ173" s="5"/>
      <c r="GK173" s="5"/>
      <c r="GL173" s="5"/>
      <c r="GM173" s="5"/>
      <c r="GN173" s="5"/>
      <c r="GO173" s="5"/>
      <c r="GP173" s="5"/>
      <c r="GQ173" s="5"/>
      <c r="GR173" s="5"/>
      <c r="GS173" s="5"/>
      <c r="GT173" s="5"/>
      <c r="GU173" s="5"/>
      <c r="GV173" s="5"/>
      <c r="GW173" s="5"/>
      <c r="GX173" s="5"/>
      <c r="GY173" s="5"/>
      <c r="GZ173" s="5"/>
    </row>
    <row r="174" spans="5:208" ht="11.1" customHeight="1" x14ac:dyDescent="0.25">
      <c r="F174" s="54"/>
      <c r="G174" s="276"/>
      <c r="H174" s="276"/>
      <c r="I174" s="276"/>
      <c r="J174" s="276"/>
      <c r="K174" s="276"/>
      <c r="L174" s="276"/>
      <c r="M174" s="276"/>
      <c r="N174" s="276"/>
      <c r="O174" s="276"/>
      <c r="P174" s="276"/>
      <c r="Q174" s="276"/>
      <c r="R174" s="276"/>
      <c r="S174" s="276"/>
      <c r="T174" s="276"/>
      <c r="U174" s="276"/>
      <c r="V174" s="276"/>
      <c r="W174" s="276"/>
      <c r="X174" s="276"/>
      <c r="Y174" s="276"/>
      <c r="Z174" s="276"/>
      <c r="AA174" s="276"/>
      <c r="AB174" s="276"/>
      <c r="AC174" s="276"/>
      <c r="AD174" s="276"/>
      <c r="AE174" s="276"/>
      <c r="AF174" s="276"/>
      <c r="AG174" s="276"/>
      <c r="AH174" s="276"/>
      <c r="AI174" s="276"/>
      <c r="AJ174" s="276"/>
      <c r="AK174" s="276"/>
      <c r="AL174" s="276"/>
      <c r="AM174" s="276"/>
      <c r="AN174" s="276"/>
      <c r="AO174" s="276"/>
      <c r="AP174" s="276"/>
      <c r="AQ174" s="276"/>
      <c r="AR174" s="276"/>
      <c r="AS174" s="276"/>
      <c r="AT174" s="276"/>
      <c r="AU174" s="276"/>
      <c r="AV174" s="276"/>
      <c r="AW174" s="276"/>
      <c r="AY174" s="11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5"/>
      <c r="DO174" s="5"/>
      <c r="DP174" s="5"/>
      <c r="DQ174" s="5"/>
      <c r="DR174" s="5"/>
      <c r="DS174" s="5"/>
      <c r="DT174" s="5"/>
      <c r="DU174" s="5"/>
      <c r="DV174" s="5"/>
      <c r="DW174" s="5"/>
      <c r="DX174" s="5"/>
      <c r="DY174" s="5"/>
      <c r="DZ174" s="5"/>
      <c r="EA174" s="5"/>
      <c r="EB174" s="5"/>
      <c r="EC174" s="5"/>
      <c r="ED174" s="5"/>
      <c r="EE174" s="5"/>
      <c r="EF174" s="5"/>
      <c r="EG174" s="5"/>
      <c r="EH174" s="5"/>
      <c r="EI174" s="5"/>
      <c r="EJ174" s="5"/>
      <c r="EK174" s="5"/>
      <c r="EL174" s="5"/>
      <c r="EM174" s="5"/>
      <c r="EN174" s="5"/>
      <c r="EO174" s="5"/>
      <c r="EP174" s="5"/>
      <c r="EQ174" s="5"/>
      <c r="ER174" s="5"/>
      <c r="ES174" s="5"/>
      <c r="ET174" s="5"/>
      <c r="EU174" s="5"/>
      <c r="EV174" s="5"/>
      <c r="EW174" s="5"/>
      <c r="EX174" s="5"/>
      <c r="EY174" s="5"/>
      <c r="EZ174" s="5"/>
      <c r="FA174" s="5"/>
      <c r="FB174" s="5"/>
      <c r="FC174" s="5"/>
      <c r="FD174" s="5"/>
      <c r="FE174" s="5"/>
      <c r="FF174" s="5"/>
      <c r="FG174" s="5"/>
      <c r="FH174" s="5"/>
      <c r="FI174" s="5"/>
      <c r="FJ174" s="5"/>
      <c r="FK174" s="5"/>
      <c r="FL174" s="5"/>
      <c r="FM174" s="5"/>
      <c r="FN174" s="5"/>
      <c r="FO174" s="5"/>
      <c r="FP174" s="5"/>
      <c r="FQ174" s="5"/>
      <c r="FR174" s="5"/>
      <c r="FS174" s="5"/>
      <c r="FT174" s="5"/>
      <c r="FU174" s="5"/>
      <c r="FV174" s="5"/>
      <c r="FW174" s="5"/>
      <c r="FX174" s="5"/>
      <c r="FY174" s="5"/>
      <c r="FZ174" s="5"/>
      <c r="GA174" s="5"/>
      <c r="GB174" s="5"/>
      <c r="GC174" s="5"/>
      <c r="GD174" s="5"/>
      <c r="GE174" s="5"/>
      <c r="GF174" s="5"/>
      <c r="GG174" s="5"/>
      <c r="GH174" s="5"/>
      <c r="GI174" s="5"/>
      <c r="GJ174" s="5"/>
      <c r="GK174" s="5"/>
      <c r="GL174" s="5"/>
      <c r="GM174" s="5"/>
      <c r="GN174" s="5"/>
      <c r="GO174" s="5"/>
      <c r="GP174" s="5"/>
      <c r="GQ174" s="5"/>
      <c r="GR174" s="5"/>
      <c r="GS174" s="5"/>
      <c r="GT174" s="5"/>
      <c r="GU174" s="5"/>
      <c r="GV174" s="5"/>
      <c r="GW174" s="5"/>
      <c r="GX174" s="5"/>
      <c r="GY174" s="5"/>
      <c r="GZ174" s="5"/>
    </row>
    <row r="175" spans="5:208" ht="3.9" customHeight="1" x14ac:dyDescent="0.25">
      <c r="F175" s="54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  <c r="AL175" s="11"/>
      <c r="AM175" s="11"/>
      <c r="AN175" s="11"/>
      <c r="AO175" s="11"/>
      <c r="AP175" s="11"/>
      <c r="AQ175" s="11"/>
      <c r="AR175" s="11"/>
      <c r="AS175" s="11"/>
      <c r="AT175" s="11"/>
      <c r="AU175" s="11"/>
      <c r="AV175" s="11"/>
      <c r="AW175" s="11"/>
      <c r="AY175" s="11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5"/>
      <c r="DO175" s="5"/>
      <c r="DP175" s="5"/>
      <c r="DQ175" s="5"/>
      <c r="DR175" s="5"/>
      <c r="DS175" s="5"/>
      <c r="DT175" s="5"/>
      <c r="DU175" s="5"/>
      <c r="DV175" s="5"/>
      <c r="DW175" s="5"/>
      <c r="DX175" s="5"/>
      <c r="DY175" s="5"/>
      <c r="DZ175" s="5"/>
      <c r="EA175" s="5"/>
      <c r="EB175" s="5"/>
      <c r="EC175" s="5"/>
      <c r="ED175" s="5"/>
      <c r="EE175" s="5"/>
      <c r="EF175" s="5"/>
      <c r="EG175" s="5"/>
      <c r="EH175" s="5"/>
      <c r="EI175" s="5"/>
      <c r="EJ175" s="5"/>
      <c r="EK175" s="5"/>
      <c r="EL175" s="5"/>
      <c r="EM175" s="5"/>
      <c r="EN175" s="5"/>
      <c r="EO175" s="5"/>
      <c r="EP175" s="5"/>
      <c r="EQ175" s="5"/>
      <c r="ER175" s="5"/>
      <c r="ES175" s="5"/>
      <c r="ET175" s="5"/>
      <c r="EU175" s="5"/>
      <c r="EV175" s="5"/>
      <c r="EW175" s="5"/>
      <c r="EX175" s="5"/>
      <c r="EY175" s="5"/>
      <c r="EZ175" s="5"/>
      <c r="FA175" s="5"/>
      <c r="FB175" s="5"/>
      <c r="FC175" s="5"/>
      <c r="FD175" s="5"/>
      <c r="FE175" s="5"/>
      <c r="FF175" s="5"/>
      <c r="FG175" s="5"/>
      <c r="FH175" s="5"/>
      <c r="FI175" s="5"/>
      <c r="FJ175" s="5"/>
      <c r="FK175" s="5"/>
      <c r="FL175" s="5"/>
      <c r="FM175" s="5"/>
      <c r="FN175" s="5"/>
      <c r="FO175" s="5"/>
      <c r="FP175" s="5"/>
      <c r="FQ175" s="5"/>
      <c r="FR175" s="5"/>
      <c r="FS175" s="5"/>
      <c r="FT175" s="5"/>
      <c r="FU175" s="5"/>
      <c r="FV175" s="5"/>
      <c r="FW175" s="5"/>
      <c r="FX175" s="5"/>
      <c r="FY175" s="5"/>
      <c r="FZ175" s="5"/>
      <c r="GA175" s="5"/>
      <c r="GB175" s="5"/>
      <c r="GC175" s="5"/>
      <c r="GD175" s="5"/>
      <c r="GE175" s="5"/>
      <c r="GF175" s="5"/>
      <c r="GG175" s="5"/>
      <c r="GH175" s="5"/>
      <c r="GI175" s="5"/>
      <c r="GJ175" s="5"/>
      <c r="GK175" s="5"/>
      <c r="GL175" s="5"/>
      <c r="GM175" s="5"/>
      <c r="GN175" s="5"/>
      <c r="GO175" s="5"/>
      <c r="GP175" s="5"/>
      <c r="GQ175" s="5"/>
      <c r="GR175" s="5"/>
      <c r="GS175" s="5"/>
      <c r="GT175" s="5"/>
      <c r="GU175" s="5"/>
      <c r="GV175" s="5"/>
      <c r="GW175" s="5"/>
      <c r="GX175" s="5"/>
      <c r="GY175" s="5"/>
      <c r="GZ175" s="5"/>
    </row>
    <row r="176" spans="5:208" ht="11.1" customHeight="1" x14ac:dyDescent="0.25">
      <c r="G176" s="226" t="s">
        <v>290</v>
      </c>
      <c r="H176" s="227"/>
      <c r="I176" s="227"/>
      <c r="J176" s="227"/>
      <c r="K176" s="227"/>
      <c r="L176" s="227"/>
      <c r="M176" s="227"/>
      <c r="N176" s="227"/>
      <c r="O176" s="227"/>
      <c r="P176" s="227"/>
      <c r="Q176" s="227"/>
      <c r="R176" s="227"/>
      <c r="S176" s="227"/>
      <c r="T176" s="227"/>
      <c r="U176" s="227"/>
      <c r="V176" s="227"/>
      <c r="W176" s="227"/>
      <c r="X176" s="227"/>
      <c r="Y176" s="227"/>
      <c r="Z176" s="227"/>
      <c r="AA176" s="227"/>
      <c r="AB176" s="227"/>
      <c r="AC176" s="227"/>
      <c r="AD176" s="227"/>
      <c r="AE176" s="227"/>
      <c r="AF176" s="227"/>
      <c r="AG176" s="227"/>
      <c r="AH176" s="227"/>
      <c r="AI176" s="227"/>
      <c r="AJ176" s="227"/>
      <c r="AK176" s="227"/>
      <c r="AL176" s="227"/>
      <c r="AM176" s="227"/>
      <c r="AN176" s="227"/>
      <c r="AO176" s="227"/>
      <c r="AP176" s="227"/>
      <c r="AQ176" s="227"/>
      <c r="AR176" s="227"/>
      <c r="AS176" s="227"/>
      <c r="AT176" s="227"/>
      <c r="AU176" s="227"/>
      <c r="AV176" s="227"/>
      <c r="AW176" s="228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DM176" s="5"/>
      <c r="DN176" s="5"/>
      <c r="DO176" s="5"/>
      <c r="DP176" s="5"/>
      <c r="DQ176" s="5"/>
      <c r="DR176" s="5"/>
      <c r="DS176" s="5"/>
      <c r="DT176" s="5"/>
      <c r="DU176" s="5"/>
      <c r="DV176" s="5"/>
      <c r="DW176" s="5"/>
      <c r="DX176" s="5"/>
      <c r="DY176" s="5"/>
      <c r="DZ176" s="5"/>
      <c r="EA176" s="5"/>
      <c r="EB176" s="5"/>
      <c r="EC176" s="5"/>
      <c r="ED176" s="5"/>
      <c r="EE176" s="5"/>
      <c r="EF176" s="5"/>
      <c r="EG176" s="5"/>
      <c r="EH176" s="5"/>
      <c r="EI176" s="5"/>
      <c r="EJ176" s="5"/>
      <c r="EK176" s="5"/>
      <c r="EL176" s="5"/>
      <c r="EM176" s="5"/>
      <c r="EN176" s="5"/>
      <c r="EO176" s="5"/>
      <c r="EP176" s="5"/>
      <c r="EQ176" s="5"/>
      <c r="ER176" s="5"/>
      <c r="ES176" s="5"/>
      <c r="ET176" s="5"/>
      <c r="EU176" s="5"/>
      <c r="EV176" s="5"/>
      <c r="EW176" s="5"/>
      <c r="EX176" s="5"/>
      <c r="EY176" s="5"/>
      <c r="EZ176" s="5"/>
      <c r="FA176" s="5"/>
      <c r="FB176" s="5"/>
      <c r="FC176" s="5"/>
      <c r="FD176" s="5"/>
      <c r="FE176" s="5"/>
      <c r="FF176" s="5"/>
      <c r="FG176" s="5"/>
      <c r="FH176" s="5"/>
      <c r="FI176" s="5"/>
      <c r="FJ176" s="5"/>
      <c r="FK176" s="5"/>
      <c r="FL176" s="5"/>
      <c r="FM176" s="5"/>
      <c r="FN176" s="5"/>
      <c r="FO176" s="5"/>
      <c r="FP176" s="5"/>
      <c r="FQ176" s="5"/>
      <c r="FR176" s="5"/>
      <c r="FS176" s="5"/>
      <c r="FT176" s="5"/>
      <c r="FU176" s="5"/>
      <c r="FV176" s="5"/>
      <c r="FW176" s="5"/>
      <c r="FX176" s="5"/>
      <c r="FY176" s="5"/>
      <c r="FZ176" s="5"/>
      <c r="GA176" s="5"/>
      <c r="GB176" s="5"/>
      <c r="GC176" s="5"/>
      <c r="GD176" s="5"/>
      <c r="GE176" s="5"/>
      <c r="GF176" s="5"/>
      <c r="GG176" s="5"/>
      <c r="GH176" s="5"/>
      <c r="GI176" s="5"/>
      <c r="GJ176" s="5"/>
      <c r="GK176" s="5"/>
      <c r="GL176" s="5"/>
      <c r="GM176" s="5"/>
      <c r="GN176" s="5"/>
      <c r="GO176" s="5"/>
      <c r="GP176" s="5"/>
      <c r="GQ176" s="5"/>
      <c r="GR176" s="5"/>
      <c r="GS176" s="5"/>
      <c r="GT176" s="5"/>
      <c r="GU176" s="5"/>
      <c r="GV176" s="5"/>
      <c r="GW176" s="5"/>
      <c r="GX176" s="5"/>
      <c r="GY176" s="5"/>
      <c r="GZ176" s="5"/>
    </row>
    <row r="177" spans="1:208" ht="11.1" customHeight="1" x14ac:dyDescent="0.25">
      <c r="G177" s="260" t="s">
        <v>294</v>
      </c>
      <c r="H177" s="261"/>
      <c r="I177" s="261"/>
      <c r="J177" s="261"/>
      <c r="K177" s="261"/>
      <c r="L177" s="261"/>
      <c r="M177" s="261"/>
      <c r="N177" s="262"/>
      <c r="O177" s="206" t="s">
        <v>496</v>
      </c>
      <c r="P177" s="207"/>
      <c r="Q177" s="207"/>
      <c r="R177" s="207"/>
      <c r="S177" s="207"/>
      <c r="T177" s="207"/>
      <c r="U177" s="207"/>
      <c r="V177" s="207"/>
      <c r="W177" s="207"/>
      <c r="X177" s="207"/>
      <c r="Y177" s="207"/>
      <c r="Z177" s="207"/>
      <c r="AA177" s="207"/>
      <c r="AB177" s="207"/>
      <c r="AC177" s="207"/>
      <c r="AD177" s="207"/>
      <c r="AE177" s="207"/>
      <c r="AF177" s="207"/>
      <c r="AG177" s="207"/>
      <c r="AH177" s="207"/>
      <c r="AI177" s="207"/>
      <c r="AJ177" s="207"/>
      <c r="AK177" s="207"/>
      <c r="AL177" s="207"/>
      <c r="AM177" s="207"/>
      <c r="AN177" s="207"/>
      <c r="AO177" s="207"/>
      <c r="AP177" s="207"/>
      <c r="AQ177" s="207"/>
      <c r="AR177" s="207"/>
      <c r="AS177" s="207"/>
      <c r="AT177" s="207"/>
      <c r="AU177" s="207"/>
      <c r="AV177" s="207"/>
      <c r="AW177" s="208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5"/>
      <c r="DO177" s="5"/>
      <c r="DP177" s="5"/>
      <c r="DQ177" s="5"/>
      <c r="DR177" s="5"/>
      <c r="DS177" s="5"/>
      <c r="DT177" s="5"/>
      <c r="DU177" s="5"/>
      <c r="DV177" s="5"/>
      <c r="DW177" s="5"/>
      <c r="DX177" s="5"/>
      <c r="DY177" s="5"/>
      <c r="DZ177" s="5"/>
      <c r="EA177" s="5"/>
      <c r="EB177" s="5"/>
      <c r="EC177" s="5"/>
      <c r="ED177" s="5"/>
      <c r="EE177" s="5"/>
      <c r="EF177" s="5"/>
      <c r="EG177" s="5"/>
      <c r="EH177" s="5"/>
      <c r="EI177" s="5"/>
      <c r="EJ177" s="5"/>
      <c r="EK177" s="5"/>
      <c r="EL177" s="5"/>
      <c r="EM177" s="5"/>
      <c r="EN177" s="5"/>
      <c r="EO177" s="5"/>
      <c r="EP177" s="5"/>
      <c r="EQ177" s="5"/>
      <c r="ER177" s="5"/>
      <c r="ES177" s="5"/>
      <c r="ET177" s="5"/>
      <c r="EU177" s="5"/>
      <c r="EV177" s="5"/>
      <c r="EW177" s="5"/>
      <c r="EX177" s="5"/>
      <c r="EY177" s="5"/>
      <c r="EZ177" s="5"/>
      <c r="FA177" s="5"/>
      <c r="FB177" s="5"/>
      <c r="FC177" s="5"/>
      <c r="FD177" s="5"/>
      <c r="FE177" s="5"/>
      <c r="FF177" s="5"/>
      <c r="FG177" s="5"/>
      <c r="FH177" s="5"/>
      <c r="FI177" s="5"/>
      <c r="FJ177" s="5"/>
      <c r="FK177" s="5"/>
      <c r="FL177" s="5"/>
      <c r="FM177" s="5"/>
      <c r="FN177" s="5"/>
      <c r="FO177" s="5"/>
      <c r="FP177" s="5"/>
      <c r="FQ177" s="5"/>
      <c r="FR177" s="5"/>
      <c r="FS177" s="5"/>
      <c r="FT177" s="5"/>
      <c r="FU177" s="5"/>
      <c r="FV177" s="5"/>
      <c r="FW177" s="5"/>
      <c r="FX177" s="5"/>
      <c r="FY177" s="5"/>
      <c r="FZ177" s="5"/>
      <c r="GA177" s="5"/>
      <c r="GB177" s="5"/>
      <c r="GC177" s="5"/>
      <c r="GD177" s="5"/>
      <c r="GE177" s="5"/>
      <c r="GF177" s="5"/>
      <c r="GG177" s="5"/>
      <c r="GH177" s="5"/>
      <c r="GI177" s="5"/>
      <c r="GJ177" s="5"/>
      <c r="GK177" s="5"/>
      <c r="GL177" s="5"/>
      <c r="GM177" s="5"/>
      <c r="GN177" s="5"/>
      <c r="GO177" s="5"/>
      <c r="GP177" s="5"/>
      <c r="GQ177" s="5"/>
      <c r="GR177" s="5"/>
      <c r="GS177" s="5"/>
      <c r="GT177" s="5"/>
      <c r="GU177" s="5"/>
      <c r="GV177" s="5"/>
      <c r="GW177" s="5"/>
      <c r="GX177" s="5"/>
      <c r="GY177" s="5"/>
      <c r="GZ177" s="5"/>
    </row>
    <row r="178" spans="1:208" ht="21.9" customHeight="1" x14ac:dyDescent="0.25">
      <c r="G178" s="263"/>
      <c r="H178" s="264"/>
      <c r="I178" s="264"/>
      <c r="J178" s="264"/>
      <c r="K178" s="264"/>
      <c r="L178" s="264"/>
      <c r="M178" s="264"/>
      <c r="N178" s="265"/>
      <c r="O178" s="209"/>
      <c r="P178" s="210"/>
      <c r="Q178" s="210"/>
      <c r="R178" s="210"/>
      <c r="S178" s="210"/>
      <c r="T178" s="210"/>
      <c r="U178" s="210"/>
      <c r="V178" s="210"/>
      <c r="W178" s="210"/>
      <c r="X178" s="210"/>
      <c r="Y178" s="210"/>
      <c r="Z178" s="210"/>
      <c r="AA178" s="210"/>
      <c r="AB178" s="210"/>
      <c r="AC178" s="210"/>
      <c r="AD178" s="210"/>
      <c r="AE178" s="210"/>
      <c r="AF178" s="210"/>
      <c r="AG178" s="210"/>
      <c r="AH178" s="210"/>
      <c r="AI178" s="210"/>
      <c r="AJ178" s="210"/>
      <c r="AK178" s="210"/>
      <c r="AL178" s="210"/>
      <c r="AM178" s="210"/>
      <c r="AN178" s="210"/>
      <c r="AO178" s="210"/>
      <c r="AP178" s="210"/>
      <c r="AQ178" s="210"/>
      <c r="AR178" s="210"/>
      <c r="AS178" s="210"/>
      <c r="AT178" s="210"/>
      <c r="AU178" s="210"/>
      <c r="AV178" s="210"/>
      <c r="AW178" s="211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5"/>
      <c r="DO178" s="5"/>
      <c r="DP178" s="5"/>
      <c r="DQ178" s="5"/>
      <c r="DR178" s="5"/>
      <c r="DS178" s="5"/>
      <c r="DT178" s="5"/>
      <c r="DU178" s="5"/>
      <c r="DV178" s="5"/>
      <c r="DW178" s="5"/>
      <c r="DX178" s="5"/>
      <c r="DY178" s="5"/>
      <c r="DZ178" s="5"/>
      <c r="EA178" s="5"/>
      <c r="EB178" s="5"/>
      <c r="EC178" s="5"/>
      <c r="ED178" s="5"/>
      <c r="EE178" s="5"/>
      <c r="EF178" s="5"/>
      <c r="EG178" s="5"/>
      <c r="EH178" s="5"/>
      <c r="EI178" s="5"/>
      <c r="EJ178" s="5"/>
      <c r="EK178" s="5"/>
      <c r="EL178" s="5"/>
      <c r="EM178" s="5"/>
      <c r="EN178" s="5"/>
      <c r="EO178" s="5"/>
      <c r="EP178" s="5"/>
      <c r="EQ178" s="5"/>
      <c r="ER178" s="5"/>
      <c r="ES178" s="5"/>
      <c r="ET178" s="5"/>
      <c r="EU178" s="5"/>
      <c r="EV178" s="5"/>
      <c r="EW178" s="5"/>
      <c r="EX178" s="5"/>
      <c r="EY178" s="5"/>
      <c r="EZ178" s="5"/>
      <c r="FA178" s="5"/>
      <c r="FB178" s="5"/>
      <c r="FC178" s="5"/>
      <c r="FD178" s="5"/>
      <c r="FE178" s="5"/>
      <c r="FF178" s="5"/>
      <c r="FG178" s="5"/>
      <c r="FH178" s="5"/>
      <c r="FI178" s="5"/>
      <c r="FJ178" s="5"/>
      <c r="FK178" s="5"/>
      <c r="FL178" s="5"/>
      <c r="FM178" s="5"/>
      <c r="FN178" s="5"/>
      <c r="FO178" s="5"/>
      <c r="FP178" s="5"/>
      <c r="FQ178" s="5"/>
      <c r="FR178" s="5"/>
      <c r="FS178" s="5"/>
      <c r="FT178" s="5"/>
      <c r="FU178" s="5"/>
      <c r="FV178" s="5"/>
      <c r="FW178" s="5"/>
      <c r="FX178" s="5"/>
      <c r="FY178" s="5"/>
      <c r="FZ178" s="5"/>
      <c r="GA178" s="5"/>
      <c r="GB178" s="5"/>
      <c r="GC178" s="5"/>
      <c r="GD178" s="5"/>
      <c r="GE178" s="5"/>
      <c r="GF178" s="5"/>
      <c r="GG178" s="5"/>
      <c r="GH178" s="5"/>
      <c r="GI178" s="5"/>
      <c r="GJ178" s="5"/>
      <c r="GK178" s="5"/>
      <c r="GL178" s="5"/>
      <c r="GM178" s="5"/>
      <c r="GN178" s="5"/>
      <c r="GO178" s="5"/>
      <c r="GP178" s="5"/>
      <c r="GQ178" s="5"/>
      <c r="GR178" s="5"/>
      <c r="GS178" s="5"/>
      <c r="GT178" s="5"/>
      <c r="GU178" s="5"/>
      <c r="GV178" s="5"/>
      <c r="GW178" s="5"/>
      <c r="GX178" s="5"/>
      <c r="GY178" s="5"/>
      <c r="GZ178" s="5"/>
    </row>
    <row r="179" spans="1:208" ht="11.1" customHeight="1" x14ac:dyDescent="0.25">
      <c r="G179" s="263"/>
      <c r="H179" s="264"/>
      <c r="I179" s="264"/>
      <c r="J179" s="264"/>
      <c r="K179" s="264"/>
      <c r="L179" s="264"/>
      <c r="M179" s="264"/>
      <c r="N179" s="265"/>
      <c r="O179" s="209"/>
      <c r="P179" s="210"/>
      <c r="Q179" s="210"/>
      <c r="R179" s="210"/>
      <c r="S179" s="210"/>
      <c r="T179" s="210"/>
      <c r="U179" s="210"/>
      <c r="V179" s="210"/>
      <c r="W179" s="210"/>
      <c r="X179" s="210"/>
      <c r="Y179" s="210"/>
      <c r="Z179" s="210"/>
      <c r="AA179" s="210"/>
      <c r="AB179" s="210"/>
      <c r="AC179" s="210"/>
      <c r="AD179" s="210"/>
      <c r="AE179" s="210"/>
      <c r="AF179" s="210"/>
      <c r="AG179" s="210"/>
      <c r="AH179" s="210"/>
      <c r="AI179" s="210"/>
      <c r="AJ179" s="210"/>
      <c r="AK179" s="210"/>
      <c r="AL179" s="210"/>
      <c r="AM179" s="210"/>
      <c r="AN179" s="210"/>
      <c r="AO179" s="210"/>
      <c r="AP179" s="210"/>
      <c r="AQ179" s="210"/>
      <c r="AR179" s="210"/>
      <c r="AS179" s="210"/>
      <c r="AT179" s="210"/>
      <c r="AU179" s="210"/>
      <c r="AV179" s="210"/>
      <c r="AW179" s="211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DM179" s="5"/>
      <c r="DN179" s="5"/>
      <c r="DO179" s="5"/>
      <c r="DP179" s="5"/>
      <c r="DQ179" s="5"/>
      <c r="DR179" s="5"/>
      <c r="DS179" s="5"/>
      <c r="DT179" s="5"/>
      <c r="DU179" s="5"/>
      <c r="DV179" s="5"/>
      <c r="DW179" s="5"/>
      <c r="DX179" s="5"/>
      <c r="DY179" s="5"/>
      <c r="DZ179" s="5"/>
      <c r="EA179" s="5"/>
      <c r="EB179" s="5"/>
      <c r="EC179" s="5"/>
      <c r="ED179" s="5"/>
      <c r="EE179" s="5"/>
      <c r="EF179" s="5"/>
      <c r="EG179" s="5"/>
      <c r="EH179" s="5"/>
      <c r="EI179" s="5"/>
      <c r="EJ179" s="5"/>
      <c r="EK179" s="5"/>
      <c r="EL179" s="5"/>
      <c r="EM179" s="5"/>
      <c r="EN179" s="5"/>
      <c r="EO179" s="5"/>
      <c r="EP179" s="5"/>
      <c r="EQ179" s="5"/>
      <c r="ER179" s="5"/>
      <c r="ES179" s="5"/>
      <c r="ET179" s="5"/>
      <c r="EU179" s="5"/>
      <c r="EV179" s="5"/>
      <c r="EW179" s="5"/>
      <c r="EX179" s="5"/>
      <c r="EY179" s="5"/>
      <c r="EZ179" s="5"/>
      <c r="FA179" s="5"/>
      <c r="FB179" s="5"/>
      <c r="FC179" s="5"/>
      <c r="FD179" s="5"/>
      <c r="FE179" s="5"/>
      <c r="FF179" s="5"/>
      <c r="FG179" s="5"/>
      <c r="FH179" s="5"/>
      <c r="FI179" s="5"/>
      <c r="FJ179" s="5"/>
      <c r="FK179" s="5"/>
      <c r="FL179" s="5"/>
      <c r="FM179" s="5"/>
      <c r="FN179" s="5"/>
      <c r="FO179" s="5"/>
      <c r="FP179" s="5"/>
      <c r="FQ179" s="5"/>
      <c r="FR179" s="5"/>
      <c r="FS179" s="5"/>
      <c r="FT179" s="5"/>
      <c r="FU179" s="5"/>
      <c r="FV179" s="5"/>
      <c r="FW179" s="5"/>
      <c r="FX179" s="5"/>
      <c r="FY179" s="5"/>
      <c r="FZ179" s="5"/>
      <c r="GA179" s="5"/>
      <c r="GB179" s="5"/>
      <c r="GC179" s="5"/>
      <c r="GD179" s="5"/>
      <c r="GE179" s="5"/>
      <c r="GF179" s="5"/>
      <c r="GG179" s="5"/>
      <c r="GH179" s="5"/>
      <c r="GI179" s="5"/>
      <c r="GJ179" s="5"/>
      <c r="GK179" s="5"/>
      <c r="GL179" s="5"/>
      <c r="GM179" s="5"/>
      <c r="GN179" s="5"/>
      <c r="GO179" s="5"/>
      <c r="GP179" s="5"/>
      <c r="GQ179" s="5"/>
      <c r="GR179" s="5"/>
      <c r="GS179" s="5"/>
      <c r="GT179" s="5"/>
      <c r="GU179" s="5"/>
      <c r="GV179" s="5"/>
      <c r="GW179" s="5"/>
      <c r="GX179" s="5"/>
      <c r="GY179" s="5"/>
      <c r="GZ179" s="5"/>
    </row>
    <row r="180" spans="1:208" ht="11.1" customHeight="1" x14ac:dyDescent="0.25">
      <c r="G180" s="263"/>
      <c r="H180" s="264"/>
      <c r="I180" s="264"/>
      <c r="J180" s="264"/>
      <c r="K180" s="264"/>
      <c r="L180" s="264"/>
      <c r="M180" s="264"/>
      <c r="N180" s="265"/>
      <c r="O180" s="209"/>
      <c r="P180" s="210"/>
      <c r="Q180" s="210"/>
      <c r="R180" s="210"/>
      <c r="S180" s="210"/>
      <c r="T180" s="210"/>
      <c r="U180" s="210"/>
      <c r="V180" s="210"/>
      <c r="W180" s="210"/>
      <c r="X180" s="210"/>
      <c r="Y180" s="210"/>
      <c r="Z180" s="210"/>
      <c r="AA180" s="210"/>
      <c r="AB180" s="210"/>
      <c r="AC180" s="210"/>
      <c r="AD180" s="210"/>
      <c r="AE180" s="210"/>
      <c r="AF180" s="210"/>
      <c r="AG180" s="210"/>
      <c r="AH180" s="210"/>
      <c r="AI180" s="210"/>
      <c r="AJ180" s="210"/>
      <c r="AK180" s="210"/>
      <c r="AL180" s="210"/>
      <c r="AM180" s="210"/>
      <c r="AN180" s="210"/>
      <c r="AO180" s="210"/>
      <c r="AP180" s="210"/>
      <c r="AQ180" s="210"/>
      <c r="AR180" s="210"/>
      <c r="AS180" s="210"/>
      <c r="AT180" s="210"/>
      <c r="AU180" s="210"/>
      <c r="AV180" s="210"/>
      <c r="AW180" s="211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DM180" s="5"/>
      <c r="DN180" s="5"/>
      <c r="DO180" s="5"/>
      <c r="DP180" s="5"/>
      <c r="DQ180" s="5"/>
      <c r="DR180" s="5"/>
      <c r="DS180" s="5"/>
      <c r="DT180" s="5"/>
      <c r="DU180" s="5"/>
      <c r="DV180" s="5"/>
      <c r="DW180" s="5"/>
      <c r="DX180" s="5"/>
      <c r="DY180" s="5"/>
      <c r="DZ180" s="5"/>
      <c r="EA180" s="5"/>
      <c r="EB180" s="5"/>
      <c r="EC180" s="5"/>
      <c r="ED180" s="5"/>
      <c r="EE180" s="5"/>
      <c r="EF180" s="5"/>
      <c r="EG180" s="5"/>
      <c r="EH180" s="5"/>
      <c r="EI180" s="5"/>
      <c r="EJ180" s="5"/>
      <c r="EK180" s="5"/>
      <c r="EL180" s="5"/>
      <c r="EM180" s="5"/>
      <c r="EN180" s="5"/>
      <c r="EO180" s="5"/>
      <c r="EP180" s="5"/>
      <c r="EQ180" s="5"/>
      <c r="ER180" s="5"/>
      <c r="ES180" s="5"/>
      <c r="ET180" s="5"/>
      <c r="EU180" s="5"/>
      <c r="EV180" s="5"/>
      <c r="EW180" s="5"/>
      <c r="EX180" s="5"/>
      <c r="EY180" s="5"/>
      <c r="EZ180" s="5"/>
      <c r="FA180" s="5"/>
      <c r="FB180" s="5"/>
      <c r="FC180" s="5"/>
      <c r="FD180" s="5"/>
      <c r="FE180" s="5"/>
      <c r="FF180" s="5"/>
      <c r="FG180" s="5"/>
      <c r="FH180" s="5"/>
      <c r="FI180" s="5"/>
      <c r="FJ180" s="5"/>
      <c r="FK180" s="5"/>
      <c r="FL180" s="5"/>
      <c r="FM180" s="5"/>
      <c r="FN180" s="5"/>
      <c r="FO180" s="5"/>
      <c r="FP180" s="5"/>
      <c r="FQ180" s="5"/>
      <c r="FR180" s="5"/>
      <c r="FS180" s="5"/>
      <c r="FT180" s="5"/>
      <c r="FU180" s="5"/>
      <c r="FV180" s="5"/>
      <c r="FW180" s="5"/>
      <c r="FX180" s="5"/>
      <c r="FY180" s="5"/>
      <c r="FZ180" s="5"/>
      <c r="GA180" s="5"/>
      <c r="GB180" s="5"/>
      <c r="GC180" s="5"/>
      <c r="GD180" s="5"/>
      <c r="GE180" s="5"/>
      <c r="GF180" s="5"/>
      <c r="GG180" s="5"/>
      <c r="GH180" s="5"/>
      <c r="GI180" s="5"/>
      <c r="GJ180" s="5"/>
      <c r="GK180" s="5"/>
      <c r="GL180" s="5"/>
      <c r="GM180" s="5"/>
      <c r="GN180" s="5"/>
      <c r="GO180" s="5"/>
      <c r="GP180" s="5"/>
      <c r="GQ180" s="5"/>
      <c r="GR180" s="5"/>
      <c r="GS180" s="5"/>
      <c r="GT180" s="5"/>
      <c r="GU180" s="5"/>
      <c r="GV180" s="5"/>
      <c r="GW180" s="5"/>
      <c r="GX180" s="5"/>
      <c r="GY180" s="5"/>
      <c r="GZ180" s="5"/>
    </row>
    <row r="181" spans="1:208" ht="11.1" customHeight="1" x14ac:dyDescent="0.25">
      <c r="G181" s="266"/>
      <c r="H181" s="267"/>
      <c r="I181" s="267"/>
      <c r="J181" s="267"/>
      <c r="K181" s="267"/>
      <c r="L181" s="267"/>
      <c r="M181" s="267"/>
      <c r="N181" s="268"/>
      <c r="O181" s="212"/>
      <c r="P181" s="213"/>
      <c r="Q181" s="213"/>
      <c r="R181" s="213"/>
      <c r="S181" s="213"/>
      <c r="T181" s="213"/>
      <c r="U181" s="213"/>
      <c r="V181" s="213"/>
      <c r="W181" s="213"/>
      <c r="X181" s="213"/>
      <c r="Y181" s="213"/>
      <c r="Z181" s="213"/>
      <c r="AA181" s="213"/>
      <c r="AB181" s="213"/>
      <c r="AC181" s="213"/>
      <c r="AD181" s="213"/>
      <c r="AE181" s="213"/>
      <c r="AF181" s="213"/>
      <c r="AG181" s="213"/>
      <c r="AH181" s="213"/>
      <c r="AI181" s="213"/>
      <c r="AJ181" s="213"/>
      <c r="AK181" s="213"/>
      <c r="AL181" s="213"/>
      <c r="AM181" s="213"/>
      <c r="AN181" s="213"/>
      <c r="AO181" s="213"/>
      <c r="AP181" s="213"/>
      <c r="AQ181" s="213"/>
      <c r="AR181" s="213"/>
      <c r="AS181" s="213"/>
      <c r="AT181" s="213"/>
      <c r="AU181" s="213"/>
      <c r="AV181" s="213"/>
      <c r="AW181" s="214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5"/>
      <c r="DO181" s="5"/>
      <c r="DP181" s="5"/>
      <c r="DQ181" s="5"/>
      <c r="DR181" s="5"/>
      <c r="DS181" s="5"/>
      <c r="DT181" s="5"/>
      <c r="DU181" s="5"/>
      <c r="DV181" s="5"/>
      <c r="DW181" s="5"/>
      <c r="DX181" s="5"/>
      <c r="DY181" s="5"/>
      <c r="DZ181" s="5"/>
      <c r="EA181" s="5"/>
      <c r="EB181" s="5"/>
      <c r="EC181" s="5"/>
      <c r="ED181" s="5"/>
      <c r="EE181" s="5"/>
      <c r="EF181" s="5"/>
      <c r="EG181" s="5"/>
      <c r="EH181" s="5"/>
      <c r="EI181" s="5"/>
      <c r="EJ181" s="5"/>
      <c r="EK181" s="5"/>
      <c r="EL181" s="5"/>
      <c r="EM181" s="5"/>
      <c r="EN181" s="5"/>
      <c r="EO181" s="5"/>
      <c r="EP181" s="5"/>
      <c r="EQ181" s="5"/>
      <c r="ER181" s="5"/>
      <c r="ES181" s="5"/>
      <c r="ET181" s="5"/>
      <c r="EU181" s="5"/>
      <c r="EV181" s="5"/>
      <c r="EW181" s="5"/>
      <c r="EX181" s="5"/>
      <c r="EY181" s="5"/>
      <c r="EZ181" s="5"/>
      <c r="FA181" s="5"/>
      <c r="FB181" s="5"/>
      <c r="FC181" s="5"/>
      <c r="FD181" s="5"/>
      <c r="FE181" s="5"/>
      <c r="FF181" s="5"/>
      <c r="FG181" s="5"/>
      <c r="FH181" s="5"/>
      <c r="FI181" s="5"/>
      <c r="FJ181" s="5"/>
      <c r="FK181" s="5"/>
      <c r="FL181" s="5"/>
      <c r="FM181" s="5"/>
      <c r="FN181" s="5"/>
      <c r="FO181" s="5"/>
      <c r="FP181" s="5"/>
      <c r="FQ181" s="5"/>
      <c r="FR181" s="5"/>
      <c r="FS181" s="5"/>
      <c r="FT181" s="5"/>
      <c r="FU181" s="5"/>
      <c r="FV181" s="5"/>
      <c r="FW181" s="5"/>
      <c r="FX181" s="5"/>
      <c r="FY181" s="5"/>
      <c r="FZ181" s="5"/>
      <c r="GA181" s="5"/>
      <c r="GB181" s="5"/>
      <c r="GC181" s="5"/>
      <c r="GD181" s="5"/>
      <c r="GE181" s="5"/>
      <c r="GF181" s="5"/>
      <c r="GG181" s="5"/>
      <c r="GH181" s="5"/>
      <c r="GI181" s="5"/>
      <c r="GJ181" s="5"/>
      <c r="GK181" s="5"/>
      <c r="GL181" s="5"/>
      <c r="GM181" s="5"/>
      <c r="GN181" s="5"/>
      <c r="GO181" s="5"/>
      <c r="GP181" s="5"/>
      <c r="GQ181" s="5"/>
      <c r="GR181" s="5"/>
      <c r="GS181" s="5"/>
      <c r="GT181" s="5"/>
      <c r="GU181" s="5"/>
      <c r="GV181" s="5"/>
      <c r="GW181" s="5"/>
      <c r="GX181" s="5"/>
      <c r="GY181" s="5"/>
      <c r="GZ181" s="5"/>
    </row>
    <row r="182" spans="1:208" ht="6" customHeight="1" x14ac:dyDescent="0.25">
      <c r="A182" s="12"/>
      <c r="B182" s="12"/>
      <c r="C182" s="12"/>
      <c r="D182" s="12"/>
      <c r="E182" s="61"/>
      <c r="F182" s="44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5"/>
      <c r="DO182" s="5"/>
      <c r="DP182" s="5"/>
      <c r="DQ182" s="5"/>
      <c r="DR182" s="5"/>
      <c r="DS182" s="5"/>
      <c r="DT182" s="5"/>
      <c r="DU182" s="5"/>
      <c r="DV182" s="5"/>
      <c r="DW182" s="5"/>
      <c r="DX182" s="5"/>
      <c r="DY182" s="5"/>
      <c r="DZ182" s="5"/>
      <c r="EA182" s="5"/>
      <c r="EB182" s="5"/>
      <c r="EC182" s="5"/>
      <c r="ED182" s="5"/>
      <c r="EE182" s="5"/>
      <c r="EF182" s="5"/>
      <c r="EG182" s="5"/>
      <c r="EH182" s="5"/>
      <c r="EI182" s="5"/>
      <c r="EJ182" s="5"/>
      <c r="EK182" s="5"/>
      <c r="EL182" s="5"/>
      <c r="EM182" s="5"/>
      <c r="EN182" s="5"/>
      <c r="EO182" s="5"/>
      <c r="EP182" s="5"/>
      <c r="EQ182" s="5"/>
      <c r="ER182" s="5"/>
      <c r="ES182" s="5"/>
      <c r="ET182" s="5"/>
      <c r="EU182" s="5"/>
      <c r="EV182" s="5"/>
      <c r="EW182" s="5"/>
      <c r="EX182" s="5"/>
      <c r="EY182" s="5"/>
      <c r="EZ182" s="5"/>
      <c r="FA182" s="5"/>
      <c r="FB182" s="5"/>
      <c r="FC182" s="5"/>
      <c r="FD182" s="5"/>
      <c r="FE182" s="5"/>
      <c r="FF182" s="5"/>
      <c r="FG182" s="5"/>
      <c r="FH182" s="5"/>
      <c r="FI182" s="5"/>
      <c r="FJ182" s="5"/>
      <c r="FK182" s="5"/>
      <c r="FL182" s="5"/>
      <c r="FM182" s="5"/>
      <c r="FN182" s="5"/>
      <c r="FO182" s="5"/>
      <c r="FP182" s="5"/>
      <c r="FQ182" s="5"/>
      <c r="FR182" s="5"/>
      <c r="FS182" s="5"/>
      <c r="FT182" s="5"/>
      <c r="FU182" s="5"/>
      <c r="FV182" s="5"/>
      <c r="FW182" s="5"/>
      <c r="FX182" s="5"/>
      <c r="FY182" s="5"/>
      <c r="FZ182" s="5"/>
      <c r="GA182" s="5"/>
      <c r="GB182" s="5"/>
      <c r="GC182" s="5"/>
      <c r="GD182" s="5"/>
      <c r="GE182" s="5"/>
      <c r="GF182" s="5"/>
      <c r="GG182" s="5"/>
      <c r="GH182" s="5"/>
      <c r="GI182" s="5"/>
      <c r="GJ182" s="5"/>
      <c r="GK182" s="5"/>
      <c r="GL182" s="5"/>
      <c r="GM182" s="5"/>
      <c r="GN182" s="5"/>
      <c r="GO182" s="5"/>
      <c r="GP182" s="5"/>
      <c r="GQ182" s="5"/>
      <c r="GR182" s="5"/>
      <c r="GS182" s="5"/>
      <c r="GT182" s="5"/>
      <c r="GU182" s="5"/>
      <c r="GV182" s="5"/>
      <c r="GW182" s="5"/>
      <c r="GX182" s="5"/>
      <c r="GY182" s="5"/>
      <c r="GZ182" s="5"/>
    </row>
    <row r="183" spans="1:208" ht="12.9" customHeight="1" x14ac:dyDescent="0.25"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5"/>
      <c r="DO183" s="5"/>
      <c r="DP183" s="5"/>
      <c r="DQ183" s="5"/>
      <c r="DR183" s="5"/>
      <c r="DS183" s="5"/>
      <c r="DT183" s="5"/>
      <c r="DU183" s="5"/>
      <c r="DV183" s="5"/>
      <c r="DW183" s="5"/>
      <c r="DX183" s="5"/>
      <c r="DY183" s="5"/>
      <c r="DZ183" s="5"/>
      <c r="EA183" s="5"/>
      <c r="EB183" s="5"/>
      <c r="EC183" s="5"/>
      <c r="ED183" s="5"/>
      <c r="EE183" s="5"/>
      <c r="EF183" s="5"/>
      <c r="EG183" s="5"/>
      <c r="EH183" s="5"/>
      <c r="EI183" s="5"/>
      <c r="EJ183" s="5"/>
      <c r="EK183" s="5"/>
      <c r="EL183" s="5"/>
      <c r="EM183" s="5"/>
      <c r="EN183" s="5"/>
      <c r="EO183" s="5"/>
      <c r="EP183" s="5"/>
      <c r="EQ183" s="5"/>
      <c r="ER183" s="5"/>
      <c r="ES183" s="5"/>
      <c r="ET183" s="5"/>
      <c r="EU183" s="5"/>
      <c r="EV183" s="5"/>
      <c r="EW183" s="5"/>
      <c r="EX183" s="5"/>
      <c r="EY183" s="5"/>
      <c r="EZ183" s="5"/>
      <c r="FA183" s="5"/>
      <c r="FB183" s="5"/>
      <c r="FC183" s="5"/>
      <c r="FD183" s="5"/>
      <c r="FE183" s="5"/>
      <c r="FF183" s="5"/>
      <c r="FG183" s="5"/>
      <c r="FH183" s="5"/>
      <c r="FI183" s="5"/>
      <c r="FJ183" s="5"/>
      <c r="FK183" s="5"/>
      <c r="FL183" s="5"/>
      <c r="FM183" s="5"/>
      <c r="FN183" s="5"/>
      <c r="FO183" s="5"/>
      <c r="FP183" s="5"/>
      <c r="FQ183" s="5"/>
      <c r="FR183" s="5"/>
      <c r="FS183" s="5"/>
      <c r="FT183" s="5"/>
      <c r="FU183" s="5"/>
      <c r="FV183" s="5"/>
      <c r="FW183" s="5"/>
      <c r="FX183" s="5"/>
      <c r="FY183" s="5"/>
      <c r="FZ183" s="5"/>
      <c r="GA183" s="5"/>
      <c r="GB183" s="5"/>
      <c r="GC183" s="5"/>
      <c r="GD183" s="5"/>
      <c r="GE183" s="5"/>
      <c r="GF183" s="5"/>
      <c r="GG183" s="5"/>
      <c r="GH183" s="5"/>
      <c r="GI183" s="5"/>
      <c r="GJ183" s="5"/>
      <c r="GK183" s="5"/>
      <c r="GL183" s="5"/>
      <c r="GM183" s="5"/>
      <c r="GN183" s="5"/>
      <c r="GO183" s="5"/>
      <c r="GP183" s="5"/>
      <c r="GQ183" s="5"/>
      <c r="GR183" s="5"/>
      <c r="GS183" s="5"/>
      <c r="GT183" s="5"/>
      <c r="GU183" s="5"/>
      <c r="GV183" s="5"/>
      <c r="GW183" s="5"/>
      <c r="GX183" s="5"/>
      <c r="GY183" s="5"/>
      <c r="GZ183" s="5"/>
    </row>
    <row r="184" spans="1:208" ht="12" customHeight="1" x14ac:dyDescent="0.25">
      <c r="D184" s="5"/>
      <c r="E184" s="5"/>
      <c r="H184" s="594"/>
      <c r="I184" s="594"/>
      <c r="J184" s="594"/>
      <c r="K184" s="594"/>
      <c r="L184" s="594"/>
      <c r="M184" s="594"/>
      <c r="N184" s="594"/>
      <c r="O184" s="594"/>
      <c r="P184" s="594"/>
      <c r="Q184" s="594"/>
      <c r="R184" s="594"/>
      <c r="S184" s="594"/>
      <c r="T184" s="594"/>
      <c r="U184" s="594"/>
      <c r="V184" s="594"/>
      <c r="W184" s="594"/>
      <c r="X184" s="594"/>
      <c r="Y184" s="594"/>
      <c r="Z184" s="594"/>
      <c r="AE184" s="57" t="s">
        <v>66</v>
      </c>
      <c r="AF184" s="283" t="s">
        <v>208</v>
      </c>
      <c r="AG184" s="284"/>
      <c r="AH184" s="284"/>
      <c r="AI184" s="284"/>
      <c r="AJ184" s="284"/>
      <c r="AK184" s="284"/>
      <c r="AL184" s="284"/>
      <c r="AM184" s="284"/>
      <c r="AN184" s="284"/>
      <c r="AO184" s="284"/>
      <c r="AP184" s="284"/>
      <c r="AQ184" s="284"/>
      <c r="AR184" s="284"/>
      <c r="AS184" s="284"/>
      <c r="AT184" s="284"/>
      <c r="AU184" s="284"/>
      <c r="AV184" s="284"/>
      <c r="AW184" s="284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DM184" s="5"/>
      <c r="DN184" s="5"/>
      <c r="DO184" s="5"/>
      <c r="DP184" s="5"/>
      <c r="DQ184" s="5"/>
      <c r="DR184" s="5"/>
      <c r="DS184" s="5"/>
      <c r="DT184" s="5"/>
      <c r="DU184" s="5"/>
      <c r="DV184" s="5"/>
      <c r="DW184" s="5"/>
      <c r="DX184" s="5"/>
      <c r="DY184" s="5"/>
      <c r="DZ184" s="5"/>
      <c r="EA184" s="5"/>
      <c r="EB184" s="5"/>
      <c r="EC184" s="5"/>
      <c r="ED184" s="5"/>
      <c r="EE184" s="5"/>
      <c r="EF184" s="5"/>
      <c r="EG184" s="5"/>
      <c r="EH184" s="5"/>
      <c r="EI184" s="5"/>
      <c r="EJ184" s="5"/>
      <c r="EK184" s="5"/>
      <c r="EL184" s="5"/>
      <c r="EM184" s="5"/>
      <c r="EN184" s="5"/>
      <c r="EO184" s="5"/>
      <c r="EP184" s="5"/>
      <c r="EQ184" s="5"/>
      <c r="ER184" s="5"/>
      <c r="ES184" s="5"/>
      <c r="ET184" s="5"/>
      <c r="EU184" s="5"/>
      <c r="EV184" s="5"/>
      <c r="EW184" s="5"/>
      <c r="EX184" s="5"/>
      <c r="EY184" s="5"/>
      <c r="EZ184" s="5"/>
      <c r="FA184" s="5"/>
      <c r="FB184" s="5"/>
      <c r="FC184" s="5"/>
      <c r="FD184" s="5"/>
      <c r="FE184" s="5"/>
      <c r="FF184" s="5"/>
      <c r="FG184" s="5"/>
      <c r="FH184" s="5"/>
      <c r="FI184" s="5"/>
      <c r="FJ184" s="5"/>
      <c r="FK184" s="5"/>
      <c r="FL184" s="5"/>
      <c r="FM184" s="5"/>
      <c r="FN184" s="5"/>
      <c r="FO184" s="5"/>
      <c r="FP184" s="5"/>
      <c r="FQ184" s="5"/>
      <c r="FR184" s="5"/>
      <c r="FS184" s="5"/>
      <c r="FT184" s="5"/>
      <c r="FU184" s="5"/>
      <c r="FV184" s="5"/>
      <c r="FW184" s="5"/>
      <c r="FX184" s="5"/>
      <c r="FY184" s="5"/>
      <c r="FZ184" s="5"/>
      <c r="GA184" s="5"/>
      <c r="GB184" s="5"/>
      <c r="GC184" s="5"/>
      <c r="GD184" s="5"/>
      <c r="GE184" s="5"/>
      <c r="GF184" s="5"/>
      <c r="GG184" s="5"/>
      <c r="GH184" s="5"/>
      <c r="GI184" s="5"/>
      <c r="GJ184" s="5"/>
      <c r="GK184" s="5"/>
      <c r="GL184" s="5"/>
      <c r="GM184" s="5"/>
      <c r="GN184" s="5"/>
      <c r="GO184" s="5"/>
      <c r="GP184" s="5"/>
      <c r="GQ184" s="5"/>
      <c r="GR184" s="5"/>
      <c r="GS184" s="5"/>
      <c r="GT184" s="5"/>
      <c r="GU184" s="5"/>
      <c r="GV184" s="5"/>
      <c r="GW184" s="5"/>
      <c r="GX184" s="5"/>
      <c r="GY184" s="5"/>
      <c r="GZ184" s="5"/>
    </row>
    <row r="185" spans="1:208" ht="12" customHeight="1" x14ac:dyDescent="0.25">
      <c r="D185" s="5"/>
      <c r="E185" s="5"/>
      <c r="H185" s="58" t="s">
        <v>18</v>
      </c>
      <c r="I185" s="598" t="s">
        <v>19</v>
      </c>
      <c r="J185" s="598"/>
      <c r="K185" s="598"/>
      <c r="L185" s="598"/>
      <c r="M185" s="598"/>
      <c r="N185" s="598"/>
      <c r="O185" s="598"/>
      <c r="P185" s="598"/>
      <c r="Q185" s="598"/>
      <c r="R185" s="598"/>
      <c r="S185" s="598"/>
      <c r="T185" s="598"/>
      <c r="U185" s="598"/>
      <c r="V185" s="598"/>
      <c r="W185" s="598"/>
      <c r="X185" s="598"/>
      <c r="Y185" s="598"/>
      <c r="Z185" s="599"/>
      <c r="AE185" s="9" t="s">
        <v>20</v>
      </c>
      <c r="AF185" s="593">
        <f>P_Ini</f>
        <v>0</v>
      </c>
      <c r="AG185" s="593"/>
      <c r="AH185" s="593"/>
      <c r="AI185" s="593"/>
      <c r="AJ185" s="593"/>
      <c r="AK185" s="593"/>
      <c r="AL185" s="593"/>
      <c r="AM185" s="593"/>
      <c r="AN185" s="593"/>
      <c r="AO185" s="593"/>
      <c r="AP185" s="593"/>
      <c r="AQ185" s="593"/>
      <c r="AR185" s="593"/>
      <c r="AS185" s="593"/>
      <c r="AT185" s="593"/>
      <c r="AU185" s="593"/>
      <c r="AV185" s="593"/>
      <c r="AW185" s="593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DM185" s="5"/>
      <c r="DN185" s="5"/>
      <c r="DO185" s="5"/>
      <c r="DP185" s="5"/>
      <c r="DQ185" s="5"/>
      <c r="DR185" s="5"/>
      <c r="DS185" s="5"/>
      <c r="DT185" s="5"/>
      <c r="DU185" s="5"/>
      <c r="DV185" s="5"/>
      <c r="DW185" s="5"/>
      <c r="DX185" s="5"/>
      <c r="DY185" s="5"/>
      <c r="DZ185" s="5"/>
      <c r="EA185" s="5"/>
      <c r="EB185" s="5"/>
      <c r="EC185" s="5"/>
      <c r="ED185" s="5"/>
      <c r="EE185" s="5"/>
      <c r="EF185" s="5"/>
      <c r="EG185" s="5"/>
      <c r="EH185" s="5"/>
      <c r="EI185" s="5"/>
      <c r="EJ185" s="5"/>
      <c r="EK185" s="5"/>
      <c r="EL185" s="5"/>
      <c r="EM185" s="5"/>
      <c r="EN185" s="5"/>
      <c r="EO185" s="5"/>
      <c r="EP185" s="5"/>
      <c r="EQ185" s="5"/>
      <c r="ER185" s="5"/>
      <c r="ES185" s="5"/>
      <c r="ET185" s="5"/>
      <c r="EU185" s="5"/>
      <c r="EV185" s="5"/>
      <c r="EW185" s="5"/>
      <c r="EX185" s="5"/>
      <c r="EY185" s="5"/>
      <c r="EZ185" s="5"/>
      <c r="FA185" s="5"/>
      <c r="FB185" s="5"/>
      <c r="FC185" s="5"/>
      <c r="FD185" s="5"/>
      <c r="FE185" s="5"/>
      <c r="FF185" s="5"/>
      <c r="FG185" s="5"/>
      <c r="FH185" s="5"/>
      <c r="FI185" s="5"/>
      <c r="FJ185" s="5"/>
      <c r="FK185" s="5"/>
      <c r="FL185" s="5"/>
      <c r="FM185" s="5"/>
      <c r="FN185" s="5"/>
      <c r="FO185" s="5"/>
      <c r="FP185" s="5"/>
      <c r="FQ185" s="5"/>
      <c r="FR185" s="5"/>
      <c r="FS185" s="5"/>
      <c r="FT185" s="5"/>
      <c r="FU185" s="5"/>
      <c r="FV185" s="5"/>
      <c r="FW185" s="5"/>
      <c r="FX185" s="5"/>
      <c r="FY185" s="5"/>
      <c r="FZ185" s="5"/>
      <c r="GA185" s="5"/>
      <c r="GB185" s="5"/>
      <c r="GC185" s="5"/>
      <c r="GD185" s="5"/>
      <c r="GE185" s="5"/>
      <c r="GF185" s="5"/>
      <c r="GG185" s="5"/>
      <c r="GH185" s="5"/>
      <c r="GI185" s="5"/>
      <c r="GJ185" s="5"/>
      <c r="GK185" s="5"/>
      <c r="GL185" s="5"/>
      <c r="GM185" s="5"/>
      <c r="GN185" s="5"/>
      <c r="GO185" s="5"/>
      <c r="GP185" s="5"/>
      <c r="GQ185" s="5"/>
      <c r="GR185" s="5"/>
      <c r="GS185" s="5"/>
      <c r="GT185" s="5"/>
      <c r="GU185" s="5"/>
      <c r="GV185" s="5"/>
      <c r="GW185" s="5"/>
      <c r="GX185" s="5"/>
      <c r="GY185" s="5"/>
      <c r="GZ185" s="5"/>
    </row>
    <row r="186" spans="1:208" ht="12" customHeight="1" x14ac:dyDescent="0.25">
      <c r="D186" s="5"/>
      <c r="E186" s="5"/>
      <c r="AE186" s="9" t="s">
        <v>21</v>
      </c>
      <c r="AF186" s="314">
        <f>AK44</f>
        <v>0</v>
      </c>
      <c r="AG186" s="314"/>
      <c r="AH186" s="314"/>
      <c r="AI186" s="314"/>
      <c r="AJ186" s="314"/>
      <c r="AK186" s="314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DM186" s="5"/>
      <c r="DN186" s="5"/>
      <c r="DO186" s="5"/>
      <c r="DP186" s="5"/>
      <c r="DQ186" s="5"/>
      <c r="DR186" s="5"/>
      <c r="DS186" s="5"/>
      <c r="DT186" s="5"/>
      <c r="DU186" s="5"/>
      <c r="DV186" s="5"/>
      <c r="DW186" s="5"/>
      <c r="DX186" s="5"/>
      <c r="DY186" s="5"/>
      <c r="DZ186" s="5"/>
      <c r="EA186" s="5"/>
      <c r="EB186" s="5"/>
      <c r="EC186" s="5"/>
      <c r="ED186" s="5"/>
      <c r="EE186" s="5"/>
      <c r="EF186" s="5"/>
      <c r="EG186" s="5"/>
      <c r="EH186" s="5"/>
      <c r="EI186" s="5"/>
      <c r="EJ186" s="5"/>
      <c r="EK186" s="5"/>
      <c r="EL186" s="5"/>
      <c r="EM186" s="5"/>
      <c r="EN186" s="5"/>
      <c r="EO186" s="5"/>
      <c r="EP186" s="5"/>
      <c r="EQ186" s="5"/>
      <c r="ER186" s="5"/>
      <c r="ES186" s="5"/>
      <c r="ET186" s="5"/>
      <c r="EU186" s="5"/>
      <c r="EV186" s="5"/>
      <c r="EW186" s="5"/>
      <c r="EX186" s="5"/>
      <c r="EY186" s="5"/>
      <c r="EZ186" s="5"/>
      <c r="FA186" s="5"/>
      <c r="FB186" s="5"/>
      <c r="FC186" s="5"/>
      <c r="FD186" s="5"/>
      <c r="FE186" s="5"/>
      <c r="FF186" s="5"/>
      <c r="FG186" s="5"/>
      <c r="FH186" s="5"/>
      <c r="FI186" s="5"/>
      <c r="FJ186" s="5"/>
      <c r="FK186" s="5"/>
      <c r="FL186" s="5"/>
      <c r="FM186" s="5"/>
      <c r="FN186" s="5"/>
      <c r="FO186" s="5"/>
      <c r="FP186" s="5"/>
      <c r="FQ186" s="5"/>
      <c r="FR186" s="5"/>
      <c r="FS186" s="5"/>
      <c r="FT186" s="5"/>
      <c r="FU186" s="5"/>
      <c r="FV186" s="5"/>
      <c r="FW186" s="5"/>
      <c r="FX186" s="5"/>
      <c r="FY186" s="5"/>
      <c r="FZ186" s="5"/>
      <c r="GA186" s="5"/>
      <c r="GB186" s="5"/>
      <c r="GC186" s="5"/>
      <c r="GD186" s="5"/>
      <c r="GE186" s="5"/>
      <c r="GF186" s="5"/>
      <c r="GG186" s="5"/>
      <c r="GH186" s="5"/>
      <c r="GI186" s="5"/>
      <c r="GJ186" s="5"/>
      <c r="GK186" s="5"/>
      <c r="GL186" s="5"/>
      <c r="GM186" s="5"/>
      <c r="GN186" s="5"/>
      <c r="GO186" s="5"/>
      <c r="GP186" s="5"/>
      <c r="GQ186" s="5"/>
      <c r="GR186" s="5"/>
      <c r="GS186" s="5"/>
      <c r="GT186" s="5"/>
      <c r="GU186" s="5"/>
      <c r="GV186" s="5"/>
      <c r="GW186" s="5"/>
      <c r="GX186" s="5"/>
      <c r="GY186" s="5"/>
      <c r="GZ186" s="5"/>
    </row>
    <row r="187" spans="1:208" ht="6" customHeight="1" x14ac:dyDescent="0.25">
      <c r="D187" s="5"/>
      <c r="E187" s="5"/>
      <c r="G187" s="54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DM187" s="5"/>
      <c r="DN187" s="5"/>
      <c r="DO187" s="5"/>
      <c r="DP187" s="5"/>
      <c r="DQ187" s="5"/>
      <c r="DR187" s="5"/>
      <c r="DS187" s="5"/>
      <c r="DT187" s="5"/>
      <c r="DU187" s="5"/>
      <c r="DV187" s="5"/>
      <c r="DW187" s="5"/>
      <c r="DX187" s="5"/>
      <c r="DY187" s="5"/>
      <c r="DZ187" s="5"/>
      <c r="EA187" s="5"/>
      <c r="EB187" s="5"/>
      <c r="EC187" s="5"/>
      <c r="ED187" s="5"/>
      <c r="EE187" s="5"/>
      <c r="EF187" s="5"/>
      <c r="EG187" s="5"/>
      <c r="EH187" s="5"/>
      <c r="EI187" s="5"/>
      <c r="EJ187" s="5"/>
      <c r="EK187" s="5"/>
      <c r="EL187" s="5"/>
      <c r="EM187" s="5"/>
      <c r="EN187" s="5"/>
      <c r="EO187" s="5"/>
      <c r="EP187" s="5"/>
      <c r="EQ187" s="5"/>
      <c r="ER187" s="5"/>
      <c r="ES187" s="5"/>
      <c r="ET187" s="5"/>
      <c r="EU187" s="5"/>
      <c r="EV187" s="5"/>
      <c r="EW187" s="5"/>
      <c r="EX187" s="5"/>
      <c r="EY187" s="5"/>
      <c r="EZ187" s="5"/>
      <c r="FA187" s="5"/>
      <c r="FB187" s="5"/>
      <c r="FC187" s="5"/>
      <c r="FD187" s="5"/>
      <c r="FE187" s="5"/>
      <c r="FF187" s="5"/>
      <c r="FG187" s="5"/>
      <c r="FH187" s="5"/>
      <c r="FI187" s="5"/>
      <c r="FJ187" s="5"/>
      <c r="FK187" s="5"/>
      <c r="FL187" s="5"/>
      <c r="FM187" s="5"/>
      <c r="FN187" s="5"/>
      <c r="FO187" s="5"/>
      <c r="FP187" s="5"/>
      <c r="FQ187" s="5"/>
      <c r="FR187" s="5"/>
      <c r="FS187" s="5"/>
      <c r="FT187" s="5"/>
      <c r="FU187" s="5"/>
      <c r="FV187" s="5"/>
      <c r="FW187" s="5"/>
      <c r="FX187" s="5"/>
      <c r="FY187" s="5"/>
      <c r="FZ187" s="5"/>
      <c r="GA187" s="5"/>
      <c r="GB187" s="5"/>
      <c r="GC187" s="5"/>
      <c r="GD187" s="5"/>
      <c r="GE187" s="5"/>
      <c r="GF187" s="5"/>
      <c r="GG187" s="5"/>
      <c r="GH187" s="5"/>
      <c r="GI187" s="5"/>
      <c r="GJ187" s="5"/>
      <c r="GK187" s="5"/>
      <c r="GL187" s="5"/>
      <c r="GM187" s="5"/>
      <c r="GN187" s="5"/>
      <c r="GO187" s="5"/>
      <c r="GP187" s="5"/>
      <c r="GQ187" s="5"/>
      <c r="GR187" s="5"/>
      <c r="GS187" s="5"/>
      <c r="GT187" s="5"/>
      <c r="GU187" s="5"/>
      <c r="GV187" s="5"/>
      <c r="GW187" s="5"/>
      <c r="GX187" s="5"/>
      <c r="GY187" s="5"/>
      <c r="GZ187" s="5"/>
    </row>
    <row r="188" spans="1:208" ht="12" customHeight="1" x14ac:dyDescent="0.25">
      <c r="D188" s="5"/>
      <c r="E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5"/>
      <c r="DO188" s="5"/>
      <c r="DP188" s="5"/>
      <c r="DQ188" s="5"/>
      <c r="DR188" s="5"/>
      <c r="DS188" s="5"/>
      <c r="DT188" s="5"/>
      <c r="DU188" s="5"/>
      <c r="DV188" s="5"/>
      <c r="DW188" s="5"/>
      <c r="DX188" s="5"/>
      <c r="DY188" s="5"/>
      <c r="DZ188" s="5"/>
      <c r="EA188" s="5"/>
      <c r="EB188" s="5"/>
      <c r="EC188" s="5"/>
      <c r="ED188" s="5"/>
      <c r="EE188" s="5"/>
      <c r="EF188" s="5"/>
      <c r="EG188" s="5"/>
      <c r="EH188" s="5"/>
      <c r="EI188" s="5"/>
      <c r="EJ188" s="5"/>
      <c r="EK188" s="5"/>
      <c r="EL188" s="5"/>
      <c r="EM188" s="5"/>
      <c r="EN188" s="5"/>
      <c r="EO188" s="5"/>
      <c r="EP188" s="5"/>
      <c r="EQ188" s="5"/>
      <c r="ER188" s="5"/>
      <c r="ES188" s="5"/>
      <c r="ET188" s="5"/>
      <c r="EU188" s="5"/>
      <c r="EV188" s="5"/>
      <c r="EW188" s="5"/>
      <c r="EX188" s="5"/>
      <c r="EY188" s="5"/>
      <c r="EZ188" s="5"/>
      <c r="FA188" s="5"/>
      <c r="FB188" s="5"/>
      <c r="FC188" s="5"/>
      <c r="FD188" s="5"/>
      <c r="FE188" s="5"/>
      <c r="FF188" s="5"/>
      <c r="FG188" s="5"/>
      <c r="FH188" s="5"/>
      <c r="FI188" s="5"/>
      <c r="FJ188" s="5"/>
      <c r="FK188" s="5"/>
      <c r="FL188" s="5"/>
      <c r="FM188" s="5"/>
      <c r="FN188" s="5"/>
      <c r="FO188" s="5"/>
      <c r="FP188" s="5"/>
      <c r="FQ188" s="5"/>
      <c r="FR188" s="5"/>
      <c r="FS188" s="5"/>
      <c r="FT188" s="5"/>
      <c r="FU188" s="5"/>
      <c r="FV188" s="5"/>
      <c r="FW188" s="5"/>
      <c r="FX188" s="5"/>
      <c r="FY188" s="5"/>
      <c r="FZ188" s="5"/>
      <c r="GA188" s="5"/>
      <c r="GB188" s="5"/>
      <c r="GC188" s="5"/>
      <c r="GD188" s="5"/>
      <c r="GE188" s="5"/>
      <c r="GF188" s="5"/>
      <c r="GG188" s="5"/>
      <c r="GH188" s="5"/>
      <c r="GI188" s="5"/>
      <c r="GJ188" s="5"/>
      <c r="GK188" s="5"/>
      <c r="GL188" s="5"/>
      <c r="GM188" s="5"/>
      <c r="GN188" s="5"/>
      <c r="GO188" s="5"/>
      <c r="GP188" s="5"/>
      <c r="GQ188" s="5"/>
      <c r="GR188" s="5"/>
      <c r="GS188" s="5"/>
      <c r="GT188" s="5"/>
      <c r="GU188" s="5"/>
      <c r="GV188" s="5"/>
      <c r="GW188" s="5"/>
      <c r="GX188" s="5"/>
      <c r="GY188" s="5"/>
      <c r="GZ188" s="5"/>
    </row>
    <row r="189" spans="1:208" ht="12" customHeight="1" x14ac:dyDescent="0.25">
      <c r="D189" s="5"/>
      <c r="E189" s="5"/>
      <c r="AE189" s="57" t="s">
        <v>22</v>
      </c>
      <c r="AF189" s="283" t="s">
        <v>295</v>
      </c>
      <c r="AG189" s="284"/>
      <c r="AH189" s="284"/>
      <c r="AI189" s="284"/>
      <c r="AJ189" s="284"/>
      <c r="AK189" s="284"/>
      <c r="AL189" s="284"/>
      <c r="AM189" s="284"/>
      <c r="AN189" s="284"/>
      <c r="AO189" s="284"/>
      <c r="AP189" s="284"/>
      <c r="AQ189" s="284"/>
      <c r="AR189" s="284"/>
      <c r="AS189" s="284"/>
      <c r="AT189" s="284"/>
      <c r="AU189" s="284"/>
      <c r="AV189" s="284"/>
      <c r="AW189" s="284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5"/>
      <c r="DO189" s="5"/>
      <c r="DP189" s="5"/>
      <c r="DQ189" s="5"/>
      <c r="DR189" s="5"/>
      <c r="DS189" s="5"/>
      <c r="DT189" s="5"/>
      <c r="DU189" s="5"/>
      <c r="DV189" s="5"/>
      <c r="DW189" s="5"/>
      <c r="DX189" s="5"/>
      <c r="DY189" s="5"/>
      <c r="DZ189" s="5"/>
      <c r="EA189" s="5"/>
      <c r="EB189" s="5"/>
      <c r="EC189" s="5"/>
      <c r="ED189" s="5"/>
      <c r="EE189" s="5"/>
      <c r="EF189" s="5"/>
      <c r="EG189" s="5"/>
      <c r="EH189" s="5"/>
      <c r="EI189" s="5"/>
      <c r="EJ189" s="5"/>
      <c r="EK189" s="5"/>
      <c r="EL189" s="5"/>
      <c r="EM189" s="5"/>
      <c r="EN189" s="5"/>
      <c r="EO189" s="5"/>
      <c r="EP189" s="5"/>
      <c r="EQ189" s="5"/>
      <c r="ER189" s="5"/>
      <c r="ES189" s="5"/>
      <c r="ET189" s="5"/>
      <c r="EU189" s="5"/>
      <c r="EV189" s="5"/>
      <c r="EW189" s="5"/>
      <c r="EX189" s="5"/>
      <c r="EY189" s="5"/>
      <c r="EZ189" s="5"/>
      <c r="FA189" s="5"/>
      <c r="FB189" s="5"/>
      <c r="FC189" s="5"/>
      <c r="FD189" s="5"/>
      <c r="FE189" s="5"/>
      <c r="FF189" s="5"/>
      <c r="FG189" s="5"/>
      <c r="FH189" s="5"/>
      <c r="FI189" s="5"/>
      <c r="FJ189" s="5"/>
      <c r="FK189" s="5"/>
      <c r="FL189" s="5"/>
      <c r="FM189" s="5"/>
      <c r="FN189" s="5"/>
      <c r="FO189" s="5"/>
      <c r="FP189" s="5"/>
      <c r="FQ189" s="5"/>
      <c r="FR189" s="5"/>
      <c r="FS189" s="5"/>
      <c r="FT189" s="5"/>
      <c r="FU189" s="5"/>
      <c r="FV189" s="5"/>
      <c r="FW189" s="5"/>
      <c r="FX189" s="5"/>
      <c r="FY189" s="5"/>
      <c r="FZ189" s="5"/>
      <c r="GA189" s="5"/>
      <c r="GB189" s="5"/>
      <c r="GC189" s="5"/>
      <c r="GD189" s="5"/>
      <c r="GE189" s="5"/>
      <c r="GF189" s="5"/>
      <c r="GG189" s="5"/>
      <c r="GH189" s="5"/>
      <c r="GI189" s="5"/>
      <c r="GJ189" s="5"/>
      <c r="GK189" s="5"/>
      <c r="GL189" s="5"/>
      <c r="GM189" s="5"/>
      <c r="GN189" s="5"/>
      <c r="GO189" s="5"/>
      <c r="GP189" s="5"/>
      <c r="GQ189" s="5"/>
      <c r="GR189" s="5"/>
      <c r="GS189" s="5"/>
      <c r="GT189" s="5"/>
      <c r="GU189" s="5"/>
      <c r="GV189" s="5"/>
      <c r="GW189" s="5"/>
      <c r="GX189" s="5"/>
      <c r="GY189" s="5"/>
      <c r="GZ189" s="5"/>
    </row>
    <row r="190" spans="1:208" ht="12" customHeight="1" x14ac:dyDescent="0.25">
      <c r="D190" s="5"/>
      <c r="E190" s="5"/>
      <c r="AE190" s="9" t="s">
        <v>20</v>
      </c>
      <c r="AF190" s="593">
        <f>G50</f>
        <v>0</v>
      </c>
      <c r="AG190" s="593"/>
      <c r="AH190" s="593"/>
      <c r="AI190" s="593"/>
      <c r="AJ190" s="593"/>
      <c r="AK190" s="593"/>
      <c r="AL190" s="593"/>
      <c r="AM190" s="593"/>
      <c r="AN190" s="593"/>
      <c r="AO190" s="593"/>
      <c r="AP190" s="593"/>
      <c r="AQ190" s="593"/>
      <c r="AR190" s="593"/>
      <c r="AS190" s="593"/>
      <c r="AT190" s="593"/>
      <c r="AU190" s="593"/>
      <c r="AV190" s="593"/>
      <c r="AW190" s="593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5"/>
      <c r="DO190" s="5"/>
      <c r="DP190" s="5"/>
      <c r="DQ190" s="5"/>
      <c r="DR190" s="5"/>
      <c r="DS190" s="5"/>
      <c r="DT190" s="5"/>
      <c r="DU190" s="5"/>
      <c r="DV190" s="5"/>
      <c r="DW190" s="5"/>
      <c r="DX190" s="5"/>
      <c r="DY190" s="5"/>
      <c r="DZ190" s="5"/>
      <c r="EA190" s="5"/>
      <c r="EB190" s="5"/>
      <c r="EC190" s="5"/>
      <c r="ED190" s="5"/>
      <c r="EE190" s="5"/>
      <c r="EF190" s="5"/>
      <c r="EG190" s="5"/>
      <c r="EH190" s="5"/>
      <c r="EI190" s="5"/>
      <c r="EJ190" s="5"/>
      <c r="EK190" s="5"/>
      <c r="EL190" s="5"/>
      <c r="EM190" s="5"/>
      <c r="EN190" s="5"/>
      <c r="EO190" s="5"/>
      <c r="EP190" s="5"/>
      <c r="EQ190" s="5"/>
      <c r="ER190" s="5"/>
      <c r="ES190" s="5"/>
      <c r="ET190" s="5"/>
      <c r="EU190" s="5"/>
      <c r="EV190" s="5"/>
      <c r="EW190" s="5"/>
      <c r="EX190" s="5"/>
      <c r="EY190" s="5"/>
      <c r="EZ190" s="5"/>
      <c r="FA190" s="5"/>
      <c r="FB190" s="5"/>
      <c r="FC190" s="5"/>
      <c r="FD190" s="5"/>
      <c r="FE190" s="5"/>
      <c r="FF190" s="5"/>
      <c r="FG190" s="5"/>
      <c r="FH190" s="5"/>
      <c r="FI190" s="5"/>
      <c r="FJ190" s="5"/>
      <c r="FK190" s="5"/>
      <c r="FL190" s="5"/>
      <c r="FM190" s="5"/>
      <c r="FN190" s="5"/>
      <c r="FO190" s="5"/>
      <c r="FP190" s="5"/>
      <c r="FQ190" s="5"/>
      <c r="FR190" s="5"/>
      <c r="FS190" s="5"/>
      <c r="FT190" s="5"/>
      <c r="FU190" s="5"/>
      <c r="FV190" s="5"/>
      <c r="FW190" s="5"/>
      <c r="FX190" s="5"/>
      <c r="FY190" s="5"/>
      <c r="FZ190" s="5"/>
      <c r="GA190" s="5"/>
      <c r="GB190" s="5"/>
      <c r="GC190" s="5"/>
      <c r="GD190" s="5"/>
      <c r="GE190" s="5"/>
      <c r="GF190" s="5"/>
      <c r="GG190" s="5"/>
      <c r="GH190" s="5"/>
      <c r="GI190" s="5"/>
      <c r="GJ190" s="5"/>
      <c r="GK190" s="5"/>
      <c r="GL190" s="5"/>
      <c r="GM190" s="5"/>
      <c r="GN190" s="5"/>
      <c r="GO190" s="5"/>
      <c r="GP190" s="5"/>
      <c r="GQ190" s="5"/>
      <c r="GR190" s="5"/>
      <c r="GS190" s="5"/>
      <c r="GT190" s="5"/>
      <c r="GU190" s="5"/>
      <c r="GV190" s="5"/>
      <c r="GW190" s="5"/>
      <c r="GX190" s="5"/>
      <c r="GY190" s="5"/>
      <c r="GZ190" s="5"/>
    </row>
    <row r="191" spans="1:208" ht="12" customHeight="1" x14ac:dyDescent="0.25">
      <c r="D191" s="5"/>
      <c r="E191" s="5"/>
      <c r="G191" s="54"/>
      <c r="AE191" s="9" t="s">
        <v>21</v>
      </c>
      <c r="AF191" s="314">
        <f>AK50</f>
        <v>0</v>
      </c>
      <c r="AG191" s="314"/>
      <c r="AH191" s="314"/>
      <c r="AI191" s="314"/>
      <c r="AJ191" s="314"/>
      <c r="AK191" s="314"/>
      <c r="AL191"/>
      <c r="AM191"/>
      <c r="AN191"/>
      <c r="AP191" s="115" t="s">
        <v>291</v>
      </c>
      <c r="AQ191" s="617" t="str">
        <f>AB50&amp;"/"&amp;AI50</f>
        <v>/</v>
      </c>
      <c r="AR191" s="617"/>
      <c r="AS191" s="617"/>
      <c r="AT191" s="617"/>
      <c r="AU191" s="617"/>
      <c r="AV191" s="617"/>
      <c r="AW191" s="617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5"/>
      <c r="DO191" s="5"/>
      <c r="DP191" s="5"/>
      <c r="DQ191" s="5"/>
      <c r="DR191" s="5"/>
      <c r="DS191" s="5"/>
      <c r="DT191" s="5"/>
      <c r="DU191" s="5"/>
      <c r="DV191" s="5"/>
      <c r="DW191" s="5"/>
      <c r="DX191" s="5"/>
      <c r="DY191" s="5"/>
      <c r="DZ191" s="5"/>
      <c r="EA191" s="5"/>
      <c r="EB191" s="5"/>
      <c r="EC191" s="5"/>
      <c r="ED191" s="5"/>
      <c r="EE191" s="5"/>
      <c r="EF191" s="5"/>
      <c r="EG191" s="5"/>
      <c r="EH191" s="5"/>
      <c r="EI191" s="5"/>
      <c r="EJ191" s="5"/>
      <c r="EK191" s="5"/>
      <c r="EL191" s="5"/>
      <c r="EM191" s="5"/>
      <c r="EN191" s="5"/>
      <c r="EO191" s="5"/>
      <c r="EP191" s="5"/>
      <c r="EQ191" s="5"/>
      <c r="ER191" s="5"/>
      <c r="ES191" s="5"/>
      <c r="ET191" s="5"/>
      <c r="EU191" s="5"/>
      <c r="EV191" s="5"/>
      <c r="EW191" s="5"/>
      <c r="EX191" s="5"/>
      <c r="EY191" s="5"/>
      <c r="EZ191" s="5"/>
      <c r="FA191" s="5"/>
      <c r="FB191" s="5"/>
      <c r="FC191" s="5"/>
      <c r="FD191" s="5"/>
      <c r="FE191" s="5"/>
      <c r="FF191" s="5"/>
      <c r="FG191" s="5"/>
      <c r="FH191" s="5"/>
      <c r="FI191" s="5"/>
      <c r="FJ191" s="5"/>
      <c r="FK191" s="5"/>
      <c r="FL191" s="5"/>
      <c r="FM191" s="5"/>
      <c r="FN191" s="5"/>
      <c r="FO191" s="5"/>
      <c r="FP191" s="5"/>
      <c r="FQ191" s="5"/>
      <c r="FR191" s="5"/>
      <c r="FS191" s="5"/>
      <c r="FT191" s="5"/>
      <c r="FU191" s="5"/>
      <c r="FV191" s="5"/>
      <c r="FW191" s="5"/>
      <c r="FX191" s="5"/>
      <c r="FY191" s="5"/>
      <c r="FZ191" s="5"/>
      <c r="GA191" s="5"/>
      <c r="GB191" s="5"/>
      <c r="GC191" s="5"/>
      <c r="GD191" s="5"/>
      <c r="GE191" s="5"/>
      <c r="GF191" s="5"/>
      <c r="GG191" s="5"/>
      <c r="GH191" s="5"/>
      <c r="GI191" s="5"/>
      <c r="GJ191" s="5"/>
      <c r="GK191" s="5"/>
      <c r="GL191" s="5"/>
      <c r="GM191" s="5"/>
      <c r="GN191" s="5"/>
      <c r="GO191" s="5"/>
      <c r="GP191" s="5"/>
      <c r="GQ191" s="5"/>
      <c r="GR191" s="5"/>
      <c r="GS191" s="5"/>
      <c r="GT191" s="5"/>
      <c r="GU191" s="5"/>
      <c r="GV191" s="5"/>
      <c r="GW191" s="5"/>
      <c r="GX191" s="5"/>
      <c r="GY191" s="5"/>
      <c r="GZ191" s="5"/>
    </row>
    <row r="192" spans="1:208" s="42" customFormat="1" ht="3.9" customHeight="1" x14ac:dyDescent="0.25">
      <c r="A192" s="8"/>
      <c r="B192" s="8"/>
      <c r="C192" s="8"/>
      <c r="D192" s="5"/>
      <c r="E192" s="5"/>
      <c r="F192" s="12"/>
      <c r="G192" s="12"/>
      <c r="I192" s="12"/>
      <c r="J192" s="12"/>
      <c r="K192" s="12"/>
      <c r="L192" s="12"/>
      <c r="M192" s="12"/>
      <c r="N192" s="12"/>
      <c r="O192" s="12"/>
      <c r="P192" s="12"/>
      <c r="Q192" s="12"/>
      <c r="R192" s="12"/>
      <c r="S192" s="12"/>
      <c r="T192" s="12"/>
      <c r="U192" s="12"/>
      <c r="V192" s="12"/>
      <c r="W192" s="12"/>
      <c r="X192" s="12"/>
      <c r="Y192" s="12"/>
      <c r="Z192" s="12"/>
      <c r="AA192" s="12"/>
      <c r="AB192" s="12"/>
      <c r="AC192" s="12"/>
      <c r="AD192" s="12"/>
      <c r="AE192" s="12"/>
      <c r="AF192" s="12"/>
      <c r="AG192" s="12"/>
      <c r="AH192" s="12"/>
      <c r="AI192" s="12"/>
      <c r="AJ192" s="12"/>
      <c r="AK192" s="12"/>
      <c r="AL192" s="12"/>
      <c r="AM192" s="12"/>
      <c r="AN192" s="12"/>
      <c r="AX192" s="59"/>
      <c r="AZ192" s="11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5"/>
      <c r="DO192" s="5"/>
      <c r="DP192" s="5"/>
      <c r="DQ192" s="5"/>
      <c r="DR192" s="5"/>
      <c r="DS192" s="5"/>
      <c r="DT192" s="5"/>
      <c r="DU192" s="5"/>
      <c r="DV192" s="5"/>
      <c r="DW192" s="5"/>
      <c r="DX192" s="5"/>
      <c r="DY192" s="5"/>
      <c r="DZ192" s="5"/>
      <c r="EA192" s="5"/>
      <c r="EB192" s="5"/>
      <c r="EC192" s="5"/>
      <c r="ED192" s="5"/>
      <c r="EE192" s="5"/>
      <c r="EF192" s="5"/>
      <c r="EG192" s="5"/>
      <c r="EH192" s="5"/>
      <c r="EI192" s="5"/>
      <c r="EJ192" s="5"/>
      <c r="EK192" s="5"/>
      <c r="EL192" s="5"/>
      <c r="EM192" s="5"/>
      <c r="EN192" s="5"/>
      <c r="EO192" s="5"/>
      <c r="EP192" s="5"/>
      <c r="EQ192" s="5"/>
      <c r="ER192" s="5"/>
      <c r="ES192" s="5"/>
      <c r="ET192" s="5"/>
      <c r="EU192" s="5"/>
      <c r="EV192" s="5"/>
      <c r="EW192" s="5"/>
      <c r="EX192" s="5"/>
      <c r="EY192" s="5"/>
      <c r="EZ192" s="5"/>
      <c r="FA192" s="5"/>
      <c r="FB192" s="5"/>
      <c r="FC192" s="5"/>
      <c r="FD192" s="5"/>
      <c r="FE192" s="5"/>
      <c r="FF192" s="5"/>
      <c r="FG192" s="5"/>
      <c r="FH192" s="5"/>
      <c r="FI192" s="5"/>
      <c r="FJ192" s="5"/>
      <c r="FK192" s="5"/>
      <c r="FL192" s="5"/>
      <c r="FM192" s="5"/>
      <c r="FN192" s="5"/>
      <c r="FO192" s="5"/>
      <c r="FP192" s="5"/>
      <c r="FQ192" s="5"/>
      <c r="FR192" s="5"/>
      <c r="FS192" s="5"/>
      <c r="FT192" s="5"/>
      <c r="FU192" s="5"/>
      <c r="FV192" s="5"/>
      <c r="FW192" s="5"/>
      <c r="FX192" s="5"/>
      <c r="FY192" s="5"/>
      <c r="FZ192" s="5"/>
      <c r="GA192" s="5"/>
      <c r="GB192" s="5"/>
      <c r="GC192" s="5"/>
      <c r="GD192" s="5"/>
      <c r="GE192" s="5"/>
      <c r="GF192" s="5"/>
      <c r="GG192" s="5"/>
      <c r="GH192" s="5"/>
      <c r="GI192" s="5"/>
      <c r="GJ192" s="5"/>
      <c r="GK192" s="5"/>
      <c r="GL192" s="5"/>
      <c r="GM192" s="5"/>
      <c r="GN192" s="5"/>
      <c r="GO192" s="5"/>
      <c r="GP192" s="5"/>
      <c r="GQ192" s="5"/>
      <c r="GR192" s="5"/>
      <c r="GS192" s="5"/>
      <c r="GT192" s="5"/>
      <c r="GU192" s="5"/>
      <c r="GV192" s="5"/>
      <c r="GW192" s="5"/>
      <c r="GX192" s="5"/>
      <c r="GY192" s="5"/>
      <c r="GZ192" s="5"/>
    </row>
    <row r="193" spans="1:208" ht="12" customHeight="1" x14ac:dyDescent="0.25">
      <c r="D193" s="5"/>
      <c r="E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5"/>
      <c r="DO193" s="5"/>
      <c r="DP193" s="5"/>
      <c r="DQ193" s="5"/>
      <c r="DR193" s="5"/>
      <c r="DS193" s="5"/>
      <c r="DT193" s="5"/>
      <c r="DU193" s="5"/>
      <c r="DV193" s="5"/>
      <c r="DW193" s="5"/>
      <c r="DX193" s="5"/>
      <c r="DY193" s="5"/>
      <c r="DZ193" s="5"/>
      <c r="EA193" s="5"/>
      <c r="EB193" s="5"/>
      <c r="EC193" s="5"/>
      <c r="ED193" s="5"/>
      <c r="EE193" s="5"/>
      <c r="EF193" s="5"/>
      <c r="EG193" s="5"/>
      <c r="EH193" s="5"/>
      <c r="EI193" s="5"/>
      <c r="EJ193" s="5"/>
      <c r="EK193" s="5"/>
      <c r="EL193" s="5"/>
      <c r="EM193" s="5"/>
      <c r="EN193" s="5"/>
      <c r="EO193" s="5"/>
      <c r="EP193" s="5"/>
      <c r="EQ193" s="5"/>
      <c r="ER193" s="5"/>
      <c r="ES193" s="5"/>
      <c r="ET193" s="5"/>
      <c r="EU193" s="5"/>
      <c r="EV193" s="5"/>
      <c r="EW193" s="5"/>
      <c r="EX193" s="5"/>
      <c r="EY193" s="5"/>
      <c r="EZ193" s="5"/>
      <c r="FA193" s="5"/>
      <c r="FB193" s="5"/>
      <c r="FC193" s="5"/>
      <c r="FD193" s="5"/>
      <c r="FE193" s="5"/>
      <c r="FF193" s="5"/>
      <c r="FG193" s="5"/>
      <c r="FH193" s="5"/>
      <c r="FI193" s="5"/>
      <c r="FJ193" s="5"/>
      <c r="FK193" s="5"/>
      <c r="FL193" s="5"/>
      <c r="FM193" s="5"/>
      <c r="FN193" s="5"/>
      <c r="FO193" s="5"/>
      <c r="FP193" s="5"/>
      <c r="FQ193" s="5"/>
      <c r="FR193" s="5"/>
      <c r="FS193" s="5"/>
      <c r="FT193" s="5"/>
      <c r="FU193" s="5"/>
      <c r="FV193" s="5"/>
      <c r="FW193" s="5"/>
      <c r="FX193" s="5"/>
      <c r="FY193" s="5"/>
      <c r="FZ193" s="5"/>
      <c r="GA193" s="5"/>
      <c r="GB193" s="5"/>
      <c r="GC193" s="5"/>
      <c r="GD193" s="5"/>
      <c r="GE193" s="5"/>
      <c r="GF193" s="5"/>
      <c r="GG193" s="5"/>
      <c r="GH193" s="5"/>
      <c r="GI193" s="5"/>
      <c r="GJ193" s="5"/>
      <c r="GK193" s="5"/>
      <c r="GL193" s="5"/>
      <c r="GM193" s="5"/>
      <c r="GN193" s="5"/>
      <c r="GO193" s="5"/>
      <c r="GP193" s="5"/>
      <c r="GQ193" s="5"/>
      <c r="GR193" s="5"/>
      <c r="GS193" s="5"/>
      <c r="GT193" s="5"/>
      <c r="GU193" s="5"/>
      <c r="GV193" s="5"/>
      <c r="GW193" s="5"/>
      <c r="GX193" s="5"/>
      <c r="GY193" s="5"/>
      <c r="GZ193" s="5"/>
    </row>
    <row r="194" spans="1:208" ht="12" customHeight="1" x14ac:dyDescent="0.25">
      <c r="D194" s="5"/>
      <c r="E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BA194" s="5"/>
      <c r="BB194" s="5"/>
      <c r="BC194" s="5"/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5"/>
      <c r="DO194" s="5"/>
      <c r="DP194" s="5"/>
      <c r="DQ194" s="5"/>
      <c r="DR194" s="5"/>
      <c r="DS194" s="5"/>
      <c r="DT194" s="5"/>
      <c r="DU194" s="5"/>
      <c r="DV194" s="5"/>
      <c r="DW194" s="5"/>
      <c r="DX194" s="5"/>
      <c r="DY194" s="5"/>
      <c r="DZ194" s="5"/>
      <c r="EA194" s="5"/>
      <c r="EB194" s="5"/>
      <c r="EC194" s="5"/>
      <c r="ED194" s="5"/>
      <c r="EE194" s="5"/>
      <c r="EF194" s="5"/>
      <c r="EG194" s="5"/>
      <c r="EH194" s="5"/>
      <c r="EI194" s="5"/>
      <c r="EJ194" s="5"/>
      <c r="EK194" s="5"/>
      <c r="EL194" s="5"/>
      <c r="EM194" s="5"/>
      <c r="EN194" s="5"/>
      <c r="EO194" s="5"/>
      <c r="EP194" s="5"/>
      <c r="EQ194" s="5"/>
      <c r="ER194" s="5"/>
      <c r="ES194" s="5"/>
      <c r="ET194" s="5"/>
      <c r="EU194" s="5"/>
      <c r="EV194" s="5"/>
      <c r="EW194" s="5"/>
      <c r="EX194" s="5"/>
      <c r="EY194" s="5"/>
      <c r="EZ194" s="5"/>
      <c r="FA194" s="5"/>
      <c r="FB194" s="5"/>
      <c r="FC194" s="5"/>
      <c r="FD194" s="5"/>
      <c r="FE194" s="5"/>
      <c r="FF194" s="5"/>
      <c r="FG194" s="5"/>
      <c r="FH194" s="5"/>
      <c r="FI194" s="5"/>
      <c r="FJ194" s="5"/>
      <c r="FK194" s="5"/>
      <c r="FL194" s="5"/>
      <c r="FM194" s="5"/>
      <c r="FN194" s="5"/>
      <c r="FO194" s="5"/>
      <c r="FP194" s="5"/>
      <c r="FQ194" s="5"/>
      <c r="FR194" s="5"/>
      <c r="FS194" s="5"/>
      <c r="FT194" s="5"/>
      <c r="FU194" s="5"/>
      <c r="FV194" s="5"/>
      <c r="FW194" s="5"/>
      <c r="FX194" s="5"/>
      <c r="FY194" s="5"/>
      <c r="FZ194" s="5"/>
      <c r="GA194" s="5"/>
      <c r="GB194" s="5"/>
      <c r="GC194" s="5"/>
      <c r="GD194" s="5"/>
      <c r="GE194" s="5"/>
      <c r="GF194" s="5"/>
      <c r="GG194" s="5"/>
      <c r="GH194" s="5"/>
      <c r="GI194" s="5"/>
      <c r="GJ194" s="5"/>
      <c r="GK194" s="5"/>
      <c r="GL194" s="5"/>
      <c r="GM194" s="5"/>
      <c r="GN194" s="5"/>
      <c r="GO194" s="5"/>
      <c r="GP194" s="5"/>
      <c r="GQ194" s="5"/>
      <c r="GR194" s="5"/>
      <c r="GS194" s="5"/>
      <c r="GT194" s="5"/>
      <c r="GU194" s="5"/>
      <c r="GV194" s="5"/>
      <c r="GW194" s="5"/>
      <c r="GX194" s="5"/>
      <c r="GY194" s="5"/>
      <c r="GZ194" s="5"/>
    </row>
    <row r="195" spans="1:208" ht="12" customHeight="1" x14ac:dyDescent="0.25">
      <c r="D195" s="5"/>
      <c r="E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5"/>
      <c r="DO195" s="5"/>
      <c r="DP195" s="5"/>
      <c r="DQ195" s="5"/>
      <c r="DR195" s="5"/>
      <c r="DS195" s="5"/>
      <c r="DT195" s="5"/>
      <c r="DU195" s="5"/>
      <c r="DV195" s="5"/>
      <c r="DW195" s="5"/>
      <c r="DX195" s="5"/>
      <c r="DY195" s="5"/>
      <c r="DZ195" s="5"/>
      <c r="EA195" s="5"/>
      <c r="EB195" s="5"/>
      <c r="EC195" s="5"/>
      <c r="ED195" s="5"/>
      <c r="EE195" s="5"/>
      <c r="EF195" s="5"/>
      <c r="EG195" s="5"/>
      <c r="EH195" s="5"/>
      <c r="EI195" s="5"/>
      <c r="EJ195" s="5"/>
      <c r="EK195" s="5"/>
      <c r="EL195" s="5"/>
      <c r="EM195" s="5"/>
      <c r="EN195" s="5"/>
      <c r="EO195" s="5"/>
      <c r="EP195" s="5"/>
      <c r="EQ195" s="5"/>
      <c r="ER195" s="5"/>
      <c r="ES195" s="5"/>
      <c r="ET195" s="5"/>
      <c r="EU195" s="5"/>
      <c r="EV195" s="5"/>
      <c r="EW195" s="5"/>
      <c r="EX195" s="5"/>
      <c r="EY195" s="5"/>
      <c r="EZ195" s="5"/>
      <c r="FA195" s="5"/>
      <c r="FB195" s="5"/>
      <c r="FC195" s="5"/>
      <c r="FD195" s="5"/>
      <c r="FE195" s="5"/>
      <c r="FF195" s="5"/>
      <c r="FG195" s="5"/>
      <c r="FH195" s="5"/>
      <c r="FI195" s="5"/>
      <c r="FJ195" s="5"/>
      <c r="FK195" s="5"/>
      <c r="FL195" s="5"/>
      <c r="FM195" s="5"/>
      <c r="FN195" s="5"/>
      <c r="FO195" s="5"/>
      <c r="FP195" s="5"/>
      <c r="FQ195" s="5"/>
      <c r="FR195" s="5"/>
      <c r="FS195" s="5"/>
      <c r="FT195" s="5"/>
      <c r="FU195" s="5"/>
      <c r="FV195" s="5"/>
      <c r="FW195" s="5"/>
      <c r="FX195" s="5"/>
      <c r="FY195" s="5"/>
      <c r="FZ195" s="5"/>
      <c r="GA195" s="5"/>
      <c r="GB195" s="5"/>
      <c r="GC195" s="5"/>
      <c r="GD195" s="5"/>
      <c r="GE195" s="5"/>
      <c r="GF195" s="5"/>
      <c r="GG195" s="5"/>
      <c r="GH195" s="5"/>
      <c r="GI195" s="5"/>
      <c r="GJ195" s="5"/>
      <c r="GK195" s="5"/>
      <c r="GL195" s="5"/>
      <c r="GM195" s="5"/>
      <c r="GN195" s="5"/>
      <c r="GO195" s="5"/>
      <c r="GP195" s="5"/>
      <c r="GQ195" s="5"/>
      <c r="GR195" s="5"/>
      <c r="GS195" s="5"/>
      <c r="GT195" s="5"/>
      <c r="GU195" s="5"/>
      <c r="GV195" s="5"/>
      <c r="GW195" s="5"/>
      <c r="GX195" s="5"/>
      <c r="GY195" s="5"/>
      <c r="GZ195" s="5"/>
    </row>
    <row r="196" spans="1:208" ht="6" customHeight="1" x14ac:dyDescent="0.25">
      <c r="D196" s="5"/>
      <c r="E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5"/>
      <c r="DO196" s="5"/>
      <c r="DP196" s="5"/>
      <c r="DQ196" s="5"/>
      <c r="DR196" s="5"/>
      <c r="DS196" s="5"/>
      <c r="DT196" s="5"/>
      <c r="DU196" s="5"/>
      <c r="DV196" s="5"/>
      <c r="DW196" s="5"/>
      <c r="DX196" s="5"/>
      <c r="DY196" s="5"/>
      <c r="DZ196" s="5"/>
      <c r="EA196" s="5"/>
      <c r="EB196" s="5"/>
      <c r="EC196" s="5"/>
      <c r="ED196" s="5"/>
      <c r="EE196" s="5"/>
      <c r="EF196" s="5"/>
      <c r="EG196" s="5"/>
      <c r="EH196" s="5"/>
      <c r="EI196" s="5"/>
      <c r="EJ196" s="5"/>
      <c r="EK196" s="5"/>
      <c r="EL196" s="5"/>
      <c r="EM196" s="5"/>
      <c r="EN196" s="5"/>
      <c r="EO196" s="5"/>
      <c r="EP196" s="5"/>
      <c r="EQ196" s="5"/>
      <c r="ER196" s="5"/>
      <c r="ES196" s="5"/>
      <c r="ET196" s="5"/>
      <c r="EU196" s="5"/>
      <c r="EV196" s="5"/>
      <c r="EW196" s="5"/>
      <c r="EX196" s="5"/>
      <c r="EY196" s="5"/>
      <c r="EZ196" s="5"/>
      <c r="FA196" s="5"/>
      <c r="FB196" s="5"/>
      <c r="FC196" s="5"/>
      <c r="FD196" s="5"/>
      <c r="FE196" s="5"/>
      <c r="FF196" s="5"/>
      <c r="FG196" s="5"/>
      <c r="FH196" s="5"/>
      <c r="FI196" s="5"/>
      <c r="FJ196" s="5"/>
      <c r="FK196" s="5"/>
      <c r="FL196" s="5"/>
      <c r="FM196" s="5"/>
      <c r="FN196" s="5"/>
      <c r="FO196" s="5"/>
      <c r="FP196" s="5"/>
      <c r="FQ196" s="5"/>
      <c r="FR196" s="5"/>
      <c r="FS196" s="5"/>
      <c r="FT196" s="5"/>
      <c r="FU196" s="5"/>
      <c r="FV196" s="5"/>
      <c r="FW196" s="5"/>
      <c r="FX196" s="5"/>
      <c r="FY196" s="5"/>
      <c r="FZ196" s="5"/>
      <c r="GA196" s="5"/>
      <c r="GB196" s="5"/>
      <c r="GC196" s="5"/>
      <c r="GD196" s="5"/>
      <c r="GE196" s="5"/>
      <c r="GF196" s="5"/>
      <c r="GG196" s="5"/>
      <c r="GH196" s="5"/>
      <c r="GI196" s="5"/>
      <c r="GJ196" s="5"/>
      <c r="GK196" s="5"/>
      <c r="GL196" s="5"/>
      <c r="GM196" s="5"/>
      <c r="GN196" s="5"/>
      <c r="GO196" s="5"/>
      <c r="GP196" s="5"/>
      <c r="GQ196" s="5"/>
      <c r="GR196" s="5"/>
      <c r="GS196" s="5"/>
      <c r="GT196" s="5"/>
      <c r="GU196" s="5"/>
      <c r="GV196" s="5"/>
      <c r="GW196" s="5"/>
      <c r="GX196" s="5"/>
      <c r="GY196" s="5"/>
      <c r="GZ196" s="5"/>
    </row>
    <row r="197" spans="1:208" ht="12" customHeight="1" x14ac:dyDescent="0.25">
      <c r="D197" s="5"/>
      <c r="E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5"/>
      <c r="DO197" s="5"/>
      <c r="DP197" s="5"/>
      <c r="DQ197" s="5"/>
      <c r="DR197" s="5"/>
      <c r="DS197" s="5"/>
      <c r="DT197" s="5"/>
      <c r="DU197" s="5"/>
      <c r="DV197" s="5"/>
      <c r="DW197" s="5"/>
      <c r="DX197" s="5"/>
      <c r="DY197" s="5"/>
      <c r="DZ197" s="5"/>
      <c r="EA197" s="5"/>
      <c r="EB197" s="5"/>
      <c r="EC197" s="5"/>
      <c r="ED197" s="5"/>
      <c r="EE197" s="5"/>
      <c r="EF197" s="5"/>
      <c r="EG197" s="5"/>
      <c r="EH197" s="5"/>
      <c r="EI197" s="5"/>
      <c r="EJ197" s="5"/>
      <c r="EK197" s="5"/>
      <c r="EL197" s="5"/>
      <c r="EM197" s="5"/>
      <c r="EN197" s="5"/>
      <c r="EO197" s="5"/>
      <c r="EP197" s="5"/>
      <c r="EQ197" s="5"/>
      <c r="ER197" s="5"/>
      <c r="ES197" s="5"/>
      <c r="ET197" s="5"/>
      <c r="EU197" s="5"/>
      <c r="EV197" s="5"/>
      <c r="EW197" s="5"/>
      <c r="EX197" s="5"/>
      <c r="EY197" s="5"/>
      <c r="EZ197" s="5"/>
      <c r="FA197" s="5"/>
      <c r="FB197" s="5"/>
      <c r="FC197" s="5"/>
      <c r="FD197" s="5"/>
      <c r="FE197" s="5"/>
      <c r="FF197" s="5"/>
      <c r="FG197" s="5"/>
      <c r="FH197" s="5"/>
      <c r="FI197" s="5"/>
      <c r="FJ197" s="5"/>
      <c r="FK197" s="5"/>
      <c r="FL197" s="5"/>
      <c r="FM197" s="5"/>
      <c r="FN197" s="5"/>
      <c r="FO197" s="5"/>
      <c r="FP197" s="5"/>
      <c r="FQ197" s="5"/>
      <c r="FR197" s="5"/>
      <c r="FS197" s="5"/>
      <c r="FT197" s="5"/>
      <c r="FU197" s="5"/>
      <c r="FV197" s="5"/>
      <c r="FW197" s="5"/>
      <c r="FX197" s="5"/>
      <c r="FY197" s="5"/>
      <c r="FZ197" s="5"/>
      <c r="GA197" s="5"/>
      <c r="GB197" s="5"/>
      <c r="GC197" s="5"/>
      <c r="GD197" s="5"/>
      <c r="GE197" s="5"/>
      <c r="GF197" s="5"/>
      <c r="GG197" s="5"/>
      <c r="GH197" s="5"/>
      <c r="GI197" s="5"/>
      <c r="GJ197" s="5"/>
      <c r="GK197" s="5"/>
      <c r="GL197" s="5"/>
      <c r="GM197" s="5"/>
      <c r="GN197" s="5"/>
      <c r="GO197" s="5"/>
      <c r="GP197" s="5"/>
      <c r="GQ197" s="5"/>
      <c r="GR197" s="5"/>
      <c r="GS197" s="5"/>
      <c r="GT197" s="5"/>
      <c r="GU197" s="5"/>
      <c r="GV197" s="5"/>
      <c r="GW197" s="5"/>
      <c r="GX197" s="5"/>
      <c r="GY197" s="5"/>
      <c r="GZ197" s="5"/>
    </row>
    <row r="198" spans="1:208" ht="12" customHeight="1" x14ac:dyDescent="0.25">
      <c r="D198" s="5"/>
      <c r="E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5"/>
      <c r="DO198" s="5"/>
      <c r="DP198" s="5"/>
      <c r="DQ198" s="5"/>
      <c r="DR198" s="5"/>
      <c r="DS198" s="5"/>
      <c r="DT198" s="5"/>
      <c r="DU198" s="5"/>
      <c r="DV198" s="5"/>
      <c r="DW198" s="5"/>
      <c r="DX198" s="5"/>
      <c r="DY198" s="5"/>
      <c r="DZ198" s="5"/>
      <c r="EA198" s="5"/>
      <c r="EB198" s="5"/>
      <c r="EC198" s="5"/>
      <c r="ED198" s="5"/>
      <c r="EE198" s="5"/>
      <c r="EF198" s="5"/>
      <c r="EG198" s="5"/>
      <c r="EH198" s="5"/>
      <c r="EI198" s="5"/>
      <c r="EJ198" s="5"/>
      <c r="EK198" s="5"/>
      <c r="EL198" s="5"/>
      <c r="EM198" s="5"/>
      <c r="EN198" s="5"/>
      <c r="EO198" s="5"/>
      <c r="EP198" s="5"/>
      <c r="EQ198" s="5"/>
      <c r="ER198" s="5"/>
      <c r="ES198" s="5"/>
      <c r="ET198" s="5"/>
      <c r="EU198" s="5"/>
      <c r="EV198" s="5"/>
      <c r="EW198" s="5"/>
      <c r="EX198" s="5"/>
      <c r="EY198" s="5"/>
      <c r="EZ198" s="5"/>
      <c r="FA198" s="5"/>
      <c r="FB198" s="5"/>
      <c r="FC198" s="5"/>
      <c r="FD198" s="5"/>
      <c r="FE198" s="5"/>
      <c r="FF198" s="5"/>
      <c r="FG198" s="5"/>
      <c r="FH198" s="5"/>
      <c r="FI198" s="5"/>
      <c r="FJ198" s="5"/>
      <c r="FK198" s="5"/>
      <c r="FL198" s="5"/>
      <c r="FM198" s="5"/>
      <c r="FN198" s="5"/>
      <c r="FO198" s="5"/>
      <c r="FP198" s="5"/>
      <c r="FQ198" s="5"/>
      <c r="FR198" s="5"/>
      <c r="FS198" s="5"/>
      <c r="FT198" s="5"/>
      <c r="FU198" s="5"/>
      <c r="FV198" s="5"/>
      <c r="FW198" s="5"/>
      <c r="FX198" s="5"/>
      <c r="FY198" s="5"/>
      <c r="FZ198" s="5"/>
      <c r="GA198" s="5"/>
      <c r="GB198" s="5"/>
      <c r="GC198" s="5"/>
      <c r="GD198" s="5"/>
      <c r="GE198" s="5"/>
      <c r="GF198" s="5"/>
      <c r="GG198" s="5"/>
      <c r="GH198" s="5"/>
      <c r="GI198" s="5"/>
      <c r="GJ198" s="5"/>
      <c r="GK198" s="5"/>
      <c r="GL198" s="5"/>
      <c r="GM198" s="5"/>
      <c r="GN198" s="5"/>
      <c r="GO198" s="5"/>
      <c r="GP198" s="5"/>
      <c r="GQ198" s="5"/>
      <c r="GR198" s="5"/>
      <c r="GS198" s="5"/>
      <c r="GT198" s="5"/>
      <c r="GU198" s="5"/>
      <c r="GV198" s="5"/>
      <c r="GW198" s="5"/>
      <c r="GX198" s="5"/>
      <c r="GY198" s="5"/>
      <c r="GZ198" s="5"/>
    </row>
    <row r="199" spans="1:208" ht="12" customHeight="1" x14ac:dyDescent="0.25">
      <c r="D199" s="5"/>
      <c r="E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5"/>
      <c r="DO199" s="5"/>
      <c r="DP199" s="5"/>
      <c r="DQ199" s="5"/>
      <c r="DR199" s="5"/>
      <c r="DS199" s="5"/>
      <c r="DT199" s="5"/>
      <c r="DU199" s="5"/>
      <c r="DV199" s="5"/>
      <c r="DW199" s="5"/>
      <c r="DX199" s="5"/>
      <c r="DY199" s="5"/>
      <c r="DZ199" s="5"/>
      <c r="EA199" s="5"/>
      <c r="EB199" s="5"/>
      <c r="EC199" s="5"/>
      <c r="ED199" s="5"/>
      <c r="EE199" s="5"/>
      <c r="EF199" s="5"/>
      <c r="EG199" s="5"/>
      <c r="EH199" s="5"/>
      <c r="EI199" s="5"/>
      <c r="EJ199" s="5"/>
      <c r="EK199" s="5"/>
      <c r="EL199" s="5"/>
      <c r="EM199" s="5"/>
      <c r="EN199" s="5"/>
      <c r="EO199" s="5"/>
      <c r="EP199" s="5"/>
      <c r="EQ199" s="5"/>
      <c r="ER199" s="5"/>
      <c r="ES199" s="5"/>
      <c r="ET199" s="5"/>
      <c r="EU199" s="5"/>
      <c r="EV199" s="5"/>
      <c r="EW199" s="5"/>
      <c r="EX199" s="5"/>
      <c r="EY199" s="5"/>
      <c r="EZ199" s="5"/>
      <c r="FA199" s="5"/>
      <c r="FB199" s="5"/>
      <c r="FC199" s="5"/>
      <c r="FD199" s="5"/>
      <c r="FE199" s="5"/>
      <c r="FF199" s="5"/>
      <c r="FG199" s="5"/>
      <c r="FH199" s="5"/>
      <c r="FI199" s="5"/>
      <c r="FJ199" s="5"/>
      <c r="FK199" s="5"/>
      <c r="FL199" s="5"/>
      <c r="FM199" s="5"/>
      <c r="FN199" s="5"/>
      <c r="FO199" s="5"/>
      <c r="FP199" s="5"/>
      <c r="FQ199" s="5"/>
      <c r="FR199" s="5"/>
      <c r="FS199" s="5"/>
      <c r="FT199" s="5"/>
      <c r="FU199" s="5"/>
      <c r="FV199" s="5"/>
      <c r="FW199" s="5"/>
      <c r="FX199" s="5"/>
      <c r="FY199" s="5"/>
      <c r="FZ199" s="5"/>
      <c r="GA199" s="5"/>
      <c r="GB199" s="5"/>
      <c r="GC199" s="5"/>
      <c r="GD199" s="5"/>
      <c r="GE199" s="5"/>
      <c r="GF199" s="5"/>
      <c r="GG199" s="5"/>
      <c r="GH199" s="5"/>
      <c r="GI199" s="5"/>
      <c r="GJ199" s="5"/>
      <c r="GK199" s="5"/>
      <c r="GL199" s="5"/>
      <c r="GM199" s="5"/>
      <c r="GN199" s="5"/>
      <c r="GO199" s="5"/>
      <c r="GP199" s="5"/>
      <c r="GQ199" s="5"/>
      <c r="GR199" s="5"/>
      <c r="GS199" s="5"/>
      <c r="GT199" s="5"/>
      <c r="GU199" s="5"/>
      <c r="GV199" s="5"/>
      <c r="GW199" s="5"/>
      <c r="GX199" s="5"/>
      <c r="GY199" s="5"/>
      <c r="GZ199" s="5"/>
    </row>
    <row r="200" spans="1:208" ht="12" customHeight="1" x14ac:dyDescent="0.25">
      <c r="D200" s="5"/>
      <c r="E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  <c r="DH200" s="5"/>
      <c r="DI200" s="5"/>
      <c r="DJ200" s="5"/>
      <c r="DK200" s="5"/>
      <c r="DL200" s="5"/>
      <c r="DM200" s="5"/>
      <c r="DN200" s="5"/>
      <c r="DO200" s="5"/>
      <c r="DP200" s="5"/>
      <c r="DQ200" s="5"/>
      <c r="DR200" s="5"/>
      <c r="DS200" s="5"/>
      <c r="DT200" s="5"/>
      <c r="DU200" s="5"/>
      <c r="DV200" s="5"/>
      <c r="DW200" s="5"/>
      <c r="DX200" s="5"/>
      <c r="DY200" s="5"/>
      <c r="DZ200" s="5"/>
      <c r="EA200" s="5"/>
      <c r="EB200" s="5"/>
      <c r="EC200" s="5"/>
      <c r="ED200" s="5"/>
      <c r="EE200" s="5"/>
      <c r="EF200" s="5"/>
      <c r="EG200" s="5"/>
      <c r="EH200" s="5"/>
      <c r="EI200" s="5"/>
      <c r="EJ200" s="5"/>
      <c r="EK200" s="5"/>
      <c r="EL200" s="5"/>
      <c r="EM200" s="5"/>
      <c r="EN200" s="5"/>
      <c r="EO200" s="5"/>
      <c r="EP200" s="5"/>
      <c r="EQ200" s="5"/>
      <c r="ER200" s="5"/>
      <c r="ES200" s="5"/>
      <c r="ET200" s="5"/>
      <c r="EU200" s="5"/>
      <c r="EV200" s="5"/>
      <c r="EW200" s="5"/>
      <c r="EX200" s="5"/>
      <c r="EY200" s="5"/>
      <c r="EZ200" s="5"/>
      <c r="FA200" s="5"/>
      <c r="FB200" s="5"/>
      <c r="FC200" s="5"/>
      <c r="FD200" s="5"/>
      <c r="FE200" s="5"/>
      <c r="FF200" s="5"/>
      <c r="FG200" s="5"/>
      <c r="FH200" s="5"/>
      <c r="FI200" s="5"/>
      <c r="FJ200" s="5"/>
      <c r="FK200" s="5"/>
      <c r="FL200" s="5"/>
      <c r="FM200" s="5"/>
      <c r="FN200" s="5"/>
      <c r="FO200" s="5"/>
      <c r="FP200" s="5"/>
      <c r="FQ200" s="5"/>
      <c r="FR200" s="5"/>
      <c r="FS200" s="5"/>
      <c r="FT200" s="5"/>
      <c r="FU200" s="5"/>
      <c r="FV200" s="5"/>
      <c r="FW200" s="5"/>
      <c r="FX200" s="5"/>
      <c r="FY200" s="5"/>
      <c r="FZ200" s="5"/>
      <c r="GA200" s="5"/>
      <c r="GB200" s="5"/>
      <c r="GC200" s="5"/>
      <c r="GD200" s="5"/>
      <c r="GE200" s="5"/>
      <c r="GF200" s="5"/>
      <c r="GG200" s="5"/>
      <c r="GH200" s="5"/>
      <c r="GI200" s="5"/>
      <c r="GJ200" s="5"/>
      <c r="GK200" s="5"/>
      <c r="GL200" s="5"/>
      <c r="GM200" s="5"/>
      <c r="GN200" s="5"/>
      <c r="GO200" s="5"/>
      <c r="GP200" s="5"/>
      <c r="GQ200" s="5"/>
      <c r="GR200" s="5"/>
      <c r="GS200" s="5"/>
      <c r="GT200" s="5"/>
      <c r="GU200" s="5"/>
      <c r="GV200" s="5"/>
      <c r="GW200" s="5"/>
      <c r="GX200" s="5"/>
      <c r="GY200" s="5"/>
      <c r="GZ200" s="5"/>
    </row>
    <row r="201" spans="1:208" ht="12" customHeight="1" x14ac:dyDescent="0.25">
      <c r="D201" s="5"/>
      <c r="E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  <c r="DH201" s="5"/>
      <c r="DI201" s="5"/>
      <c r="DJ201" s="5"/>
      <c r="DK201" s="5"/>
      <c r="DL201" s="5"/>
      <c r="DM201" s="5"/>
      <c r="DN201" s="5"/>
      <c r="DO201" s="5"/>
      <c r="DP201" s="5"/>
      <c r="DQ201" s="5"/>
      <c r="DR201" s="5"/>
      <c r="DS201" s="5"/>
      <c r="DT201" s="5"/>
      <c r="DU201" s="5"/>
      <c r="DV201" s="5"/>
      <c r="DW201" s="5"/>
      <c r="DX201" s="5"/>
      <c r="DY201" s="5"/>
      <c r="DZ201" s="5"/>
      <c r="EA201" s="5"/>
      <c r="EB201" s="5"/>
      <c r="EC201" s="5"/>
      <c r="ED201" s="5"/>
      <c r="EE201" s="5"/>
      <c r="EF201" s="5"/>
      <c r="EG201" s="5"/>
      <c r="EH201" s="5"/>
      <c r="EI201" s="5"/>
      <c r="EJ201" s="5"/>
      <c r="EK201" s="5"/>
      <c r="EL201" s="5"/>
      <c r="EM201" s="5"/>
      <c r="EN201" s="5"/>
      <c r="EO201" s="5"/>
      <c r="EP201" s="5"/>
      <c r="EQ201" s="5"/>
      <c r="ER201" s="5"/>
      <c r="ES201" s="5"/>
      <c r="ET201" s="5"/>
      <c r="EU201" s="5"/>
      <c r="EV201" s="5"/>
      <c r="EW201" s="5"/>
      <c r="EX201" s="5"/>
      <c r="EY201" s="5"/>
      <c r="EZ201" s="5"/>
      <c r="FA201" s="5"/>
      <c r="FB201" s="5"/>
      <c r="FC201" s="5"/>
      <c r="FD201" s="5"/>
      <c r="FE201" s="5"/>
      <c r="FF201" s="5"/>
      <c r="FG201" s="5"/>
      <c r="FH201" s="5"/>
      <c r="FI201" s="5"/>
      <c r="FJ201" s="5"/>
      <c r="FK201" s="5"/>
      <c r="FL201" s="5"/>
      <c r="FM201" s="5"/>
      <c r="FN201" s="5"/>
      <c r="FO201" s="5"/>
      <c r="FP201" s="5"/>
      <c r="FQ201" s="5"/>
      <c r="FR201" s="5"/>
      <c r="FS201" s="5"/>
      <c r="FT201" s="5"/>
      <c r="FU201" s="5"/>
      <c r="FV201" s="5"/>
      <c r="FW201" s="5"/>
      <c r="FX201" s="5"/>
      <c r="FY201" s="5"/>
      <c r="FZ201" s="5"/>
      <c r="GA201" s="5"/>
      <c r="GB201" s="5"/>
      <c r="GC201" s="5"/>
      <c r="GD201" s="5"/>
      <c r="GE201" s="5"/>
      <c r="GF201" s="5"/>
      <c r="GG201" s="5"/>
      <c r="GH201" s="5"/>
      <c r="GI201" s="5"/>
      <c r="GJ201" s="5"/>
      <c r="GK201" s="5"/>
      <c r="GL201" s="5"/>
      <c r="GM201" s="5"/>
      <c r="GN201" s="5"/>
      <c r="GO201" s="5"/>
      <c r="GP201" s="5"/>
      <c r="GQ201" s="5"/>
      <c r="GR201" s="5"/>
      <c r="GS201" s="5"/>
      <c r="GT201" s="5"/>
      <c r="GU201" s="5"/>
      <c r="GV201" s="5"/>
      <c r="GW201" s="5"/>
      <c r="GX201" s="5"/>
      <c r="GY201" s="5"/>
      <c r="GZ201" s="5"/>
    </row>
    <row r="202" spans="1:208" ht="12" customHeight="1" x14ac:dyDescent="0.25">
      <c r="D202" s="5"/>
      <c r="E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  <c r="DH202" s="5"/>
      <c r="DI202" s="5"/>
      <c r="DJ202" s="5"/>
      <c r="DK202" s="5"/>
      <c r="DL202" s="5"/>
      <c r="DM202" s="5"/>
      <c r="DN202" s="5"/>
      <c r="DO202" s="5"/>
      <c r="DP202" s="5"/>
      <c r="DQ202" s="5"/>
      <c r="DR202" s="5"/>
      <c r="DS202" s="5"/>
      <c r="DT202" s="5"/>
      <c r="DU202" s="5"/>
      <c r="DV202" s="5"/>
      <c r="DW202" s="5"/>
      <c r="DX202" s="5"/>
      <c r="DY202" s="5"/>
      <c r="DZ202" s="5"/>
      <c r="EA202" s="5"/>
      <c r="EB202" s="5"/>
      <c r="EC202" s="5"/>
      <c r="ED202" s="5"/>
      <c r="EE202" s="5"/>
      <c r="EF202" s="5"/>
      <c r="EG202" s="5"/>
      <c r="EH202" s="5"/>
      <c r="EI202" s="5"/>
      <c r="EJ202" s="5"/>
      <c r="EK202" s="5"/>
      <c r="EL202" s="5"/>
      <c r="EM202" s="5"/>
      <c r="EN202" s="5"/>
      <c r="EO202" s="5"/>
      <c r="EP202" s="5"/>
      <c r="EQ202" s="5"/>
      <c r="ER202" s="5"/>
      <c r="ES202" s="5"/>
      <c r="ET202" s="5"/>
      <c r="EU202" s="5"/>
      <c r="EV202" s="5"/>
      <c r="EW202" s="5"/>
      <c r="EX202" s="5"/>
      <c r="EY202" s="5"/>
      <c r="EZ202" s="5"/>
      <c r="FA202" s="5"/>
      <c r="FB202" s="5"/>
      <c r="FC202" s="5"/>
      <c r="FD202" s="5"/>
      <c r="FE202" s="5"/>
      <c r="FF202" s="5"/>
      <c r="FG202" s="5"/>
      <c r="FH202" s="5"/>
      <c r="FI202" s="5"/>
      <c r="FJ202" s="5"/>
      <c r="FK202" s="5"/>
      <c r="FL202" s="5"/>
      <c r="FM202" s="5"/>
      <c r="FN202" s="5"/>
      <c r="FO202" s="5"/>
      <c r="FP202" s="5"/>
      <c r="FQ202" s="5"/>
      <c r="FR202" s="5"/>
      <c r="FS202" s="5"/>
      <c r="FT202" s="5"/>
      <c r="FU202" s="5"/>
      <c r="FV202" s="5"/>
      <c r="FW202" s="5"/>
      <c r="FX202" s="5"/>
      <c r="FY202" s="5"/>
      <c r="FZ202" s="5"/>
      <c r="GA202" s="5"/>
      <c r="GB202" s="5"/>
      <c r="GC202" s="5"/>
      <c r="GD202" s="5"/>
      <c r="GE202" s="5"/>
      <c r="GF202" s="5"/>
      <c r="GG202" s="5"/>
      <c r="GH202" s="5"/>
      <c r="GI202" s="5"/>
      <c r="GJ202" s="5"/>
      <c r="GK202" s="5"/>
      <c r="GL202" s="5"/>
      <c r="GM202" s="5"/>
      <c r="GN202" s="5"/>
      <c r="GO202" s="5"/>
      <c r="GP202" s="5"/>
      <c r="GQ202" s="5"/>
      <c r="GR202" s="5"/>
      <c r="GS202" s="5"/>
      <c r="GT202" s="5"/>
      <c r="GU202" s="5"/>
      <c r="GV202" s="5"/>
      <c r="GW202" s="5"/>
      <c r="GX202" s="5"/>
      <c r="GY202" s="5"/>
      <c r="GZ202" s="5"/>
    </row>
    <row r="203" spans="1:208" s="42" customFormat="1" ht="12" customHeight="1" x14ac:dyDescent="0.25">
      <c r="A203" s="8"/>
      <c r="B203" s="8"/>
      <c r="C203" s="8"/>
      <c r="D203" s="8"/>
      <c r="E203" s="9"/>
      <c r="F203" s="12"/>
      <c r="G203"/>
      <c r="H203"/>
      <c r="I203"/>
      <c r="J203"/>
      <c r="K203"/>
      <c r="L203"/>
      <c r="M203"/>
      <c r="N203"/>
      <c r="O203"/>
      <c r="P203"/>
      <c r="Q203"/>
      <c r="R203"/>
      <c r="S203"/>
      <c r="AO203"/>
      <c r="AP203"/>
      <c r="AQ203"/>
      <c r="AR203"/>
      <c r="AS203"/>
      <c r="AT203"/>
      <c r="AU203"/>
      <c r="AV203"/>
      <c r="AW203"/>
      <c r="AX203"/>
      <c r="AY203"/>
      <c r="AZ203" s="11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  <c r="DH203" s="5"/>
      <c r="DI203" s="5"/>
      <c r="DJ203" s="5"/>
      <c r="DK203" s="5"/>
      <c r="DL203" s="5"/>
      <c r="DM203" s="5"/>
      <c r="DN203" s="5"/>
      <c r="DO203" s="5"/>
      <c r="DP203" s="5"/>
      <c r="DQ203" s="5"/>
      <c r="DR203" s="5"/>
      <c r="DS203" s="5"/>
      <c r="DT203" s="5"/>
      <c r="DU203" s="5"/>
      <c r="DV203" s="5"/>
      <c r="DW203" s="5"/>
      <c r="DX203" s="5"/>
      <c r="DY203" s="5"/>
      <c r="DZ203" s="5"/>
      <c r="EA203" s="5"/>
      <c r="EB203" s="5"/>
      <c r="EC203" s="5"/>
      <c r="ED203" s="5"/>
      <c r="EE203" s="5"/>
      <c r="EF203" s="5"/>
      <c r="EG203" s="5"/>
      <c r="EH203" s="5"/>
      <c r="EI203" s="5"/>
      <c r="EJ203" s="5"/>
      <c r="EK203" s="5"/>
      <c r="EL203" s="5"/>
      <c r="EM203" s="5"/>
      <c r="EN203" s="5"/>
      <c r="EO203" s="5"/>
      <c r="EP203" s="5"/>
      <c r="EQ203" s="5"/>
      <c r="ER203" s="5"/>
      <c r="ES203" s="5"/>
      <c r="ET203" s="5"/>
      <c r="EU203" s="5"/>
      <c r="EV203" s="5"/>
      <c r="EW203" s="5"/>
      <c r="EX203" s="5"/>
      <c r="EY203" s="5"/>
      <c r="EZ203" s="5"/>
      <c r="FA203" s="5"/>
      <c r="FB203" s="5"/>
      <c r="FC203" s="5"/>
      <c r="FD203" s="5"/>
      <c r="FE203" s="5"/>
      <c r="FF203" s="5"/>
      <c r="FG203" s="5"/>
      <c r="FH203" s="5"/>
      <c r="FI203" s="5"/>
      <c r="FJ203" s="5"/>
      <c r="FK203" s="5"/>
      <c r="FL203" s="5"/>
      <c r="FM203" s="5"/>
      <c r="FN203" s="5"/>
      <c r="FO203" s="5"/>
      <c r="FP203" s="5"/>
      <c r="FQ203" s="5"/>
      <c r="FR203" s="5"/>
      <c r="FS203" s="5"/>
      <c r="FT203" s="5"/>
      <c r="FU203" s="5"/>
      <c r="FV203" s="5"/>
      <c r="FW203" s="5"/>
      <c r="FX203" s="5"/>
      <c r="FY203" s="5"/>
      <c r="FZ203" s="5"/>
      <c r="GA203" s="5"/>
      <c r="GB203" s="5"/>
      <c r="GC203" s="5"/>
      <c r="GD203" s="5"/>
      <c r="GE203" s="5"/>
      <c r="GF203" s="5"/>
      <c r="GG203" s="5"/>
      <c r="GH203" s="5"/>
      <c r="GI203" s="5"/>
      <c r="GJ203" s="5"/>
      <c r="GK203" s="5"/>
      <c r="GL203" s="5"/>
      <c r="GM203" s="5"/>
      <c r="GN203" s="5"/>
      <c r="GO203" s="5"/>
      <c r="GP203" s="5"/>
      <c r="GQ203" s="5"/>
      <c r="GR203" s="5"/>
      <c r="GS203" s="5"/>
      <c r="GT203" s="5"/>
      <c r="GU203" s="5"/>
      <c r="GV203" s="5"/>
      <c r="GW203" s="5"/>
      <c r="GX203" s="5"/>
      <c r="GY203" s="5"/>
      <c r="GZ203" s="5"/>
    </row>
    <row r="204" spans="1:208" s="42" customFormat="1" ht="12" customHeight="1" x14ac:dyDescent="0.25">
      <c r="A204" s="8">
        <v>0</v>
      </c>
      <c r="B204" s="8"/>
      <c r="C204" s="8"/>
      <c r="D204" s="8"/>
      <c r="E204" s="9"/>
      <c r="F204" s="12"/>
      <c r="G204" s="5"/>
      <c r="H204" s="5"/>
      <c r="I204" s="5"/>
      <c r="J204" s="5"/>
      <c r="K204"/>
      <c r="L204"/>
      <c r="M204"/>
      <c r="N204"/>
      <c r="O204"/>
      <c r="P204"/>
      <c r="Q204"/>
      <c r="R204"/>
      <c r="S204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/>
      <c r="AP204"/>
      <c r="AQ204"/>
      <c r="AR204"/>
      <c r="AS204"/>
      <c r="AT204"/>
      <c r="AU204"/>
      <c r="AV204"/>
      <c r="AW204"/>
      <c r="AX204"/>
      <c r="AY204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  <c r="DH204" s="5"/>
      <c r="DI204" s="5"/>
      <c r="DJ204" s="5"/>
      <c r="DK204" s="5"/>
      <c r="DL204" s="5"/>
      <c r="DM204" s="5"/>
      <c r="DN204" s="5"/>
      <c r="DO204" s="5"/>
      <c r="DP204" s="5"/>
      <c r="DQ204" s="5"/>
      <c r="DR204" s="5"/>
      <c r="DS204" s="5"/>
      <c r="DT204" s="5"/>
      <c r="DU204" s="5"/>
      <c r="DV204" s="5"/>
      <c r="DW204" s="5"/>
      <c r="DX204" s="5"/>
      <c r="DY204" s="5"/>
      <c r="DZ204" s="5"/>
      <c r="EA204" s="5"/>
      <c r="EB204" s="5"/>
      <c r="EC204" s="5"/>
      <c r="ED204" s="5"/>
      <c r="EE204" s="5"/>
      <c r="EF204" s="5"/>
      <c r="EG204" s="5"/>
      <c r="EH204" s="5"/>
      <c r="EI204" s="5"/>
      <c r="EJ204" s="5"/>
      <c r="EK204" s="5"/>
      <c r="EL204" s="5"/>
      <c r="EM204" s="5"/>
      <c r="EN204" s="5"/>
      <c r="EO204" s="5"/>
      <c r="EP204" s="5"/>
      <c r="EQ204" s="5"/>
      <c r="ER204" s="5"/>
      <c r="ES204" s="5"/>
      <c r="ET204" s="5"/>
      <c r="EU204" s="5"/>
      <c r="EV204" s="5"/>
      <c r="EW204" s="5"/>
      <c r="EX204" s="5"/>
      <c r="EY204" s="5"/>
      <c r="EZ204" s="5"/>
      <c r="FA204" s="5"/>
      <c r="FB204" s="5"/>
      <c r="FC204" s="5"/>
      <c r="FD204" s="5"/>
      <c r="FE204" s="5"/>
      <c r="FF204" s="5"/>
      <c r="FG204" s="5"/>
      <c r="FH204" s="5"/>
      <c r="FI204" s="5"/>
      <c r="FJ204" s="5"/>
      <c r="FK204" s="5"/>
      <c r="FL204" s="5"/>
      <c r="FM204" s="5"/>
      <c r="FN204" s="5"/>
      <c r="FO204" s="5"/>
      <c r="FP204" s="5"/>
      <c r="FQ204" s="5"/>
      <c r="FR204" s="5"/>
      <c r="FS204" s="5"/>
      <c r="FT204" s="5"/>
      <c r="FU204" s="5"/>
      <c r="FV204" s="5"/>
      <c r="FW204" s="5"/>
      <c r="FX204" s="5"/>
      <c r="FY204" s="5"/>
      <c r="FZ204" s="5"/>
      <c r="GA204" s="5"/>
      <c r="GB204" s="5"/>
      <c r="GC204" s="5"/>
      <c r="GD204" s="5"/>
      <c r="GE204" s="5"/>
      <c r="GF204" s="5"/>
      <c r="GG204" s="5"/>
      <c r="GH204" s="5"/>
      <c r="GI204" s="5"/>
      <c r="GJ204" s="5"/>
      <c r="GK204" s="5"/>
      <c r="GL204" s="5"/>
      <c r="GM204" s="5"/>
      <c r="GN204" s="5"/>
      <c r="GO204" s="5"/>
      <c r="GP204" s="5"/>
      <c r="GQ204" s="5"/>
      <c r="GR204" s="5"/>
      <c r="GS204" s="5"/>
      <c r="GT204" s="5"/>
      <c r="GU204" s="5"/>
      <c r="GV204" s="5"/>
      <c r="GW204" s="5"/>
      <c r="GX204" s="5"/>
      <c r="GY204" s="5"/>
      <c r="GZ204" s="5"/>
    </row>
    <row r="205" spans="1:208" s="42" customFormat="1" ht="12" customHeight="1" x14ac:dyDescent="0.25">
      <c r="A205" s="8"/>
      <c r="B205" s="8"/>
      <c r="C205" s="8"/>
      <c r="D205" s="8"/>
      <c r="E205" s="9"/>
      <c r="F205" s="12"/>
      <c r="G205" s="5"/>
      <c r="H205" s="5"/>
      <c r="I205" s="5"/>
      <c r="J205" s="5"/>
      <c r="K205"/>
      <c r="L205"/>
      <c r="M205"/>
      <c r="N205"/>
      <c r="O205"/>
      <c r="P205"/>
      <c r="Q205"/>
      <c r="R205"/>
      <c r="S20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/>
      <c r="AP205"/>
      <c r="AQ205"/>
      <c r="AR205"/>
      <c r="AS205"/>
      <c r="AT205"/>
      <c r="AU205"/>
      <c r="AV205"/>
      <c r="AW205"/>
      <c r="AX205"/>
      <c r="AY20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  <c r="DH205" s="5"/>
      <c r="DI205" s="5"/>
      <c r="DJ205" s="5"/>
      <c r="DK205" s="5"/>
      <c r="DL205" s="5"/>
      <c r="DM205" s="5"/>
      <c r="DN205" s="5"/>
      <c r="DO205" s="5"/>
      <c r="DP205" s="5"/>
      <c r="DQ205" s="5"/>
      <c r="DR205" s="5"/>
      <c r="DS205" s="5"/>
      <c r="DT205" s="5"/>
      <c r="DU205" s="5"/>
      <c r="DV205" s="5"/>
      <c r="DW205" s="5"/>
      <c r="DX205" s="5"/>
      <c r="DY205" s="5"/>
      <c r="DZ205" s="5"/>
      <c r="EA205" s="5"/>
      <c r="EB205" s="5"/>
      <c r="EC205" s="5"/>
      <c r="ED205" s="5"/>
      <c r="EE205" s="5"/>
      <c r="EF205" s="5"/>
      <c r="EG205" s="5"/>
      <c r="EH205" s="5"/>
      <c r="EI205" s="5"/>
      <c r="EJ205" s="5"/>
      <c r="EK205" s="5"/>
      <c r="EL205" s="5"/>
      <c r="EM205" s="5"/>
      <c r="EN205" s="5"/>
      <c r="EO205" s="5"/>
      <c r="EP205" s="5"/>
      <c r="EQ205" s="5"/>
      <c r="ER205" s="5"/>
      <c r="ES205" s="5"/>
      <c r="ET205" s="5"/>
      <c r="EU205" s="5"/>
      <c r="EV205" s="5"/>
      <c r="EW205" s="5"/>
      <c r="EX205" s="5"/>
      <c r="EY205" s="5"/>
      <c r="EZ205" s="5"/>
      <c r="FA205" s="5"/>
      <c r="FB205" s="5"/>
      <c r="FC205" s="5"/>
      <c r="FD205" s="5"/>
      <c r="FE205" s="5"/>
      <c r="FF205" s="5"/>
      <c r="FG205" s="5"/>
      <c r="FH205" s="5"/>
      <c r="FI205" s="5"/>
      <c r="FJ205" s="5"/>
      <c r="FK205" s="5"/>
      <c r="FL205" s="5"/>
      <c r="FM205" s="5"/>
      <c r="FN205" s="5"/>
      <c r="FO205" s="5"/>
      <c r="FP205" s="5"/>
      <c r="FQ205" s="5"/>
      <c r="FR205" s="5"/>
      <c r="FS205" s="5"/>
      <c r="FT205" s="5"/>
      <c r="FU205" s="5"/>
      <c r="FV205" s="5"/>
      <c r="FW205" s="5"/>
      <c r="FX205" s="5"/>
      <c r="FY205" s="5"/>
      <c r="FZ205" s="5"/>
      <c r="GA205" s="5"/>
      <c r="GB205" s="5"/>
      <c r="GC205" s="5"/>
      <c r="GD205" s="5"/>
      <c r="GE205" s="5"/>
      <c r="GF205" s="5"/>
      <c r="GG205" s="5"/>
      <c r="GH205" s="5"/>
      <c r="GI205" s="5"/>
      <c r="GJ205" s="5"/>
      <c r="GK205" s="5"/>
      <c r="GL205" s="5"/>
      <c r="GM205" s="5"/>
      <c r="GN205" s="5"/>
      <c r="GO205" s="5"/>
      <c r="GP205" s="5"/>
      <c r="GQ205" s="5"/>
      <c r="GR205" s="5"/>
      <c r="GS205" s="5"/>
      <c r="GT205" s="5"/>
      <c r="GU205" s="5"/>
      <c r="GV205" s="5"/>
      <c r="GW205" s="5"/>
      <c r="GX205" s="5"/>
      <c r="GY205" s="5"/>
      <c r="GZ205" s="5"/>
    </row>
    <row r="206" spans="1:208" ht="12" customHeight="1" x14ac:dyDescent="0.25">
      <c r="G206" s="5"/>
      <c r="H206" s="5"/>
      <c r="I206" s="5"/>
      <c r="J206" s="5"/>
      <c r="K206"/>
      <c r="L206"/>
      <c r="M206"/>
      <c r="N206"/>
      <c r="O206"/>
      <c r="P206"/>
      <c r="Q206"/>
      <c r="R206"/>
      <c r="S206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/>
      <c r="AP206"/>
      <c r="AQ206"/>
      <c r="AR206"/>
      <c r="AS206"/>
      <c r="AT206"/>
      <c r="AU206"/>
      <c r="AV206"/>
      <c r="AW206"/>
      <c r="AX206"/>
      <c r="AY206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  <c r="DH206" s="5"/>
      <c r="DI206" s="5"/>
      <c r="DJ206" s="5"/>
      <c r="DK206" s="5"/>
      <c r="DL206" s="5"/>
      <c r="DM206" s="5"/>
      <c r="DN206" s="5"/>
      <c r="DO206" s="5"/>
      <c r="DP206" s="5"/>
      <c r="DQ206" s="5"/>
      <c r="DR206" s="5"/>
      <c r="DS206" s="5"/>
      <c r="DT206" s="5"/>
      <c r="DU206" s="5"/>
      <c r="DV206" s="5"/>
      <c r="DW206" s="5"/>
      <c r="DX206" s="5"/>
      <c r="DY206" s="5"/>
      <c r="DZ206" s="5"/>
      <c r="EA206" s="5"/>
      <c r="EB206" s="5"/>
      <c r="EC206" s="5"/>
      <c r="ED206" s="5"/>
      <c r="EE206" s="5"/>
      <c r="EF206" s="5"/>
      <c r="EG206" s="5"/>
      <c r="EH206" s="5"/>
      <c r="EI206" s="5"/>
      <c r="EJ206" s="5"/>
      <c r="EK206" s="5"/>
      <c r="EL206" s="5"/>
      <c r="EM206" s="5"/>
      <c r="EN206" s="5"/>
      <c r="EO206" s="5"/>
      <c r="EP206" s="5"/>
      <c r="EQ206" s="5"/>
      <c r="ER206" s="5"/>
      <c r="ES206" s="5"/>
      <c r="ET206" s="5"/>
      <c r="EU206" s="5"/>
      <c r="EV206" s="5"/>
      <c r="EW206" s="5"/>
      <c r="EX206" s="5"/>
      <c r="EY206" s="5"/>
      <c r="EZ206" s="5"/>
      <c r="FA206" s="5"/>
      <c r="FB206" s="5"/>
      <c r="FC206" s="5"/>
      <c r="FD206" s="5"/>
      <c r="FE206" s="5"/>
      <c r="FF206" s="5"/>
      <c r="FG206" s="5"/>
      <c r="FH206" s="5"/>
      <c r="FI206" s="5"/>
      <c r="FJ206" s="5"/>
      <c r="FK206" s="5"/>
      <c r="FL206" s="5"/>
      <c r="FM206" s="5"/>
      <c r="FN206" s="5"/>
      <c r="FO206" s="5"/>
      <c r="FP206" s="5"/>
      <c r="FQ206" s="5"/>
      <c r="FR206" s="5"/>
      <c r="FS206" s="5"/>
      <c r="FT206" s="5"/>
      <c r="FU206" s="5"/>
      <c r="FV206" s="5"/>
      <c r="FW206" s="5"/>
      <c r="FX206" s="5"/>
      <c r="FY206" s="5"/>
      <c r="FZ206" s="5"/>
      <c r="GA206" s="5"/>
      <c r="GB206" s="5"/>
      <c r="GC206" s="5"/>
      <c r="GD206" s="5"/>
      <c r="GE206" s="5"/>
      <c r="GF206" s="5"/>
      <c r="GG206" s="5"/>
      <c r="GH206" s="5"/>
      <c r="GI206" s="5"/>
      <c r="GJ206" s="5"/>
      <c r="GK206" s="5"/>
      <c r="GL206" s="5"/>
      <c r="GM206" s="5"/>
      <c r="GN206" s="5"/>
      <c r="GO206" s="5"/>
      <c r="GP206" s="5"/>
      <c r="GQ206" s="5"/>
      <c r="GR206" s="5"/>
      <c r="GS206" s="5"/>
      <c r="GT206" s="5"/>
      <c r="GU206" s="5"/>
      <c r="GV206" s="5"/>
      <c r="GW206" s="5"/>
      <c r="GX206" s="5"/>
      <c r="GY206" s="5"/>
      <c r="GZ206" s="5"/>
    </row>
    <row r="207" spans="1:208" ht="12" customHeight="1" x14ac:dyDescent="0.25">
      <c r="G207"/>
      <c r="H207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/>
      <c r="AP207"/>
      <c r="AQ207"/>
      <c r="AR207"/>
      <c r="AS207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  <c r="DH207" s="5"/>
      <c r="DI207" s="5"/>
      <c r="DJ207" s="5"/>
      <c r="DK207" s="5"/>
      <c r="DL207" s="5"/>
      <c r="DM207" s="5"/>
      <c r="DN207" s="5"/>
      <c r="DO207" s="5"/>
      <c r="DP207" s="5"/>
      <c r="DQ207" s="5"/>
      <c r="DR207" s="5"/>
      <c r="DS207" s="5"/>
      <c r="DT207" s="5"/>
      <c r="DU207" s="5"/>
      <c r="DV207" s="5"/>
      <c r="DW207" s="5"/>
      <c r="DX207" s="5"/>
      <c r="DY207" s="5"/>
      <c r="DZ207" s="5"/>
      <c r="EA207" s="5"/>
      <c r="EB207" s="5"/>
      <c r="EC207" s="5"/>
      <c r="ED207" s="5"/>
      <c r="EE207" s="5"/>
      <c r="EF207" s="5"/>
      <c r="EG207" s="5"/>
      <c r="EH207" s="5"/>
      <c r="EI207" s="5"/>
      <c r="EJ207" s="5"/>
      <c r="EK207" s="5"/>
      <c r="EL207" s="5"/>
      <c r="EM207" s="5"/>
      <c r="EN207" s="5"/>
      <c r="EO207" s="5"/>
      <c r="EP207" s="5"/>
      <c r="EQ207" s="5"/>
      <c r="ER207" s="5"/>
      <c r="ES207" s="5"/>
      <c r="ET207" s="5"/>
      <c r="EU207" s="5"/>
      <c r="EV207" s="5"/>
      <c r="EW207" s="5"/>
      <c r="EX207" s="5"/>
      <c r="EY207" s="5"/>
      <c r="EZ207" s="5"/>
      <c r="FA207" s="5"/>
      <c r="FB207" s="5"/>
      <c r="FC207" s="5"/>
      <c r="FD207" s="5"/>
      <c r="FE207" s="5"/>
      <c r="FF207" s="5"/>
      <c r="FG207" s="5"/>
      <c r="FH207" s="5"/>
      <c r="FI207" s="5"/>
      <c r="FJ207" s="5"/>
      <c r="FK207" s="5"/>
      <c r="FL207" s="5"/>
      <c r="FM207" s="5"/>
      <c r="FN207" s="5"/>
      <c r="FO207" s="5"/>
      <c r="FP207" s="5"/>
      <c r="FQ207" s="5"/>
      <c r="FR207" s="5"/>
      <c r="FS207" s="5"/>
      <c r="FT207" s="5"/>
      <c r="FU207" s="5"/>
      <c r="FV207" s="5"/>
      <c r="FW207" s="5"/>
      <c r="FX207" s="5"/>
      <c r="FY207" s="5"/>
      <c r="FZ207" s="5"/>
      <c r="GA207" s="5"/>
      <c r="GB207" s="5"/>
      <c r="GC207" s="5"/>
      <c r="GD207" s="5"/>
      <c r="GE207" s="5"/>
      <c r="GF207" s="5"/>
      <c r="GG207" s="5"/>
      <c r="GH207" s="5"/>
      <c r="GI207" s="5"/>
      <c r="GJ207" s="5"/>
      <c r="GK207" s="5"/>
      <c r="GL207" s="5"/>
      <c r="GM207" s="5"/>
      <c r="GN207" s="5"/>
      <c r="GO207" s="5"/>
      <c r="GP207" s="5"/>
      <c r="GQ207" s="5"/>
      <c r="GR207" s="5"/>
      <c r="GS207" s="5"/>
      <c r="GT207" s="5"/>
      <c r="GU207" s="5"/>
      <c r="GV207" s="5"/>
      <c r="GW207" s="5"/>
      <c r="GX207" s="5"/>
      <c r="GY207" s="5"/>
      <c r="GZ207" s="5"/>
    </row>
    <row r="208" spans="1:208" x14ac:dyDescent="0.25"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  <c r="DH208" s="5"/>
      <c r="DI208" s="5"/>
      <c r="DJ208" s="5"/>
      <c r="DK208" s="5"/>
      <c r="DL208" s="5"/>
      <c r="DM208" s="5"/>
      <c r="DN208" s="5"/>
      <c r="DO208" s="5"/>
      <c r="DP208" s="5"/>
      <c r="DQ208" s="5"/>
      <c r="DR208" s="5"/>
      <c r="DS208" s="5"/>
      <c r="DT208" s="5"/>
      <c r="DU208" s="5"/>
      <c r="DV208" s="5"/>
      <c r="DW208" s="5"/>
      <c r="DX208" s="5"/>
      <c r="DY208" s="5"/>
      <c r="DZ208" s="5"/>
      <c r="EA208" s="5"/>
      <c r="EB208" s="5"/>
      <c r="EC208" s="5"/>
      <c r="ED208" s="5"/>
      <c r="EE208" s="5"/>
      <c r="EF208" s="5"/>
      <c r="EG208" s="5"/>
      <c r="EH208" s="5"/>
      <c r="EI208" s="5"/>
      <c r="EJ208" s="5"/>
      <c r="EK208" s="5"/>
      <c r="EL208" s="5"/>
      <c r="EM208" s="5"/>
      <c r="EN208" s="5"/>
      <c r="EO208" s="5"/>
      <c r="EP208" s="5"/>
      <c r="EQ208" s="5"/>
      <c r="ER208" s="5"/>
      <c r="ES208" s="5"/>
      <c r="ET208" s="5"/>
      <c r="EU208" s="5"/>
      <c r="EV208" s="5"/>
      <c r="EW208" s="5"/>
      <c r="EX208" s="5"/>
      <c r="EY208" s="5"/>
      <c r="EZ208" s="5"/>
      <c r="FA208" s="5"/>
      <c r="FB208" s="5"/>
      <c r="FC208" s="5"/>
      <c r="FD208" s="5"/>
      <c r="FE208" s="5"/>
      <c r="FF208" s="5"/>
      <c r="FG208" s="5"/>
      <c r="FH208" s="5"/>
      <c r="FI208" s="5"/>
      <c r="FJ208" s="5"/>
      <c r="FK208" s="5"/>
      <c r="FL208" s="5"/>
      <c r="FM208" s="5"/>
      <c r="FN208" s="5"/>
      <c r="FO208" s="5"/>
      <c r="FP208" s="5"/>
      <c r="FQ208" s="5"/>
      <c r="FR208" s="5"/>
      <c r="FS208" s="5"/>
      <c r="FT208" s="5"/>
      <c r="FU208" s="5"/>
      <c r="FV208" s="5"/>
      <c r="FW208" s="5"/>
      <c r="FX208" s="5"/>
      <c r="FY208" s="5"/>
      <c r="FZ208" s="5"/>
      <c r="GA208" s="5"/>
      <c r="GB208" s="5"/>
      <c r="GC208" s="5"/>
      <c r="GD208" s="5"/>
      <c r="GE208" s="5"/>
      <c r="GF208" s="5"/>
      <c r="GG208" s="5"/>
      <c r="GH208" s="5"/>
      <c r="GI208" s="5"/>
      <c r="GJ208" s="5"/>
      <c r="GK208" s="5"/>
      <c r="GL208" s="5"/>
      <c r="GM208" s="5"/>
      <c r="GN208" s="5"/>
      <c r="GO208" s="5"/>
      <c r="GP208" s="5"/>
      <c r="GQ208" s="5"/>
      <c r="GR208" s="5"/>
      <c r="GS208" s="5"/>
      <c r="GT208" s="5"/>
      <c r="GU208" s="5"/>
      <c r="GV208" s="5"/>
      <c r="GW208" s="5"/>
      <c r="GX208" s="5"/>
      <c r="GY208" s="5"/>
      <c r="GZ208" s="5"/>
    </row>
    <row r="209" spans="20:208" x14ac:dyDescent="0.25"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  <c r="DH209" s="5"/>
      <c r="DI209" s="5"/>
      <c r="DJ209" s="5"/>
      <c r="DK209" s="5"/>
      <c r="DL209" s="5"/>
      <c r="DM209" s="5"/>
      <c r="DN209" s="5"/>
      <c r="DO209" s="5"/>
      <c r="DP209" s="5"/>
      <c r="DQ209" s="5"/>
      <c r="DR209" s="5"/>
      <c r="DS209" s="5"/>
      <c r="DT209" s="5"/>
      <c r="DU209" s="5"/>
      <c r="DV209" s="5"/>
      <c r="DW209" s="5"/>
      <c r="DX209" s="5"/>
      <c r="DY209" s="5"/>
      <c r="DZ209" s="5"/>
      <c r="EA209" s="5"/>
      <c r="EB209" s="5"/>
      <c r="EC209" s="5"/>
      <c r="ED209" s="5"/>
      <c r="EE209" s="5"/>
      <c r="EF209" s="5"/>
      <c r="EG209" s="5"/>
      <c r="EH209" s="5"/>
      <c r="EI209" s="5"/>
      <c r="EJ209" s="5"/>
      <c r="EK209" s="5"/>
      <c r="EL209" s="5"/>
      <c r="EM209" s="5"/>
      <c r="EN209" s="5"/>
      <c r="EO209" s="5"/>
      <c r="EP209" s="5"/>
      <c r="EQ209" s="5"/>
      <c r="ER209" s="5"/>
      <c r="ES209" s="5"/>
      <c r="ET209" s="5"/>
      <c r="EU209" s="5"/>
      <c r="EV209" s="5"/>
      <c r="EW209" s="5"/>
      <c r="EX209" s="5"/>
      <c r="EY209" s="5"/>
      <c r="EZ209" s="5"/>
      <c r="FA209" s="5"/>
      <c r="FB209" s="5"/>
      <c r="FC209" s="5"/>
      <c r="FD209" s="5"/>
      <c r="FE209" s="5"/>
      <c r="FF209" s="5"/>
      <c r="FG209" s="5"/>
      <c r="FH209" s="5"/>
      <c r="FI209" s="5"/>
      <c r="FJ209" s="5"/>
      <c r="FK209" s="5"/>
      <c r="FL209" s="5"/>
      <c r="FM209" s="5"/>
      <c r="FN209" s="5"/>
      <c r="FO209" s="5"/>
      <c r="FP209" s="5"/>
      <c r="FQ209" s="5"/>
      <c r="FR209" s="5"/>
      <c r="FS209" s="5"/>
      <c r="FT209" s="5"/>
      <c r="FU209" s="5"/>
      <c r="FV209" s="5"/>
      <c r="FW209" s="5"/>
      <c r="FX209" s="5"/>
      <c r="FY209" s="5"/>
      <c r="FZ209" s="5"/>
      <c r="GA209" s="5"/>
      <c r="GB209" s="5"/>
      <c r="GC209" s="5"/>
      <c r="GD209" s="5"/>
      <c r="GE209" s="5"/>
      <c r="GF209" s="5"/>
      <c r="GG209" s="5"/>
      <c r="GH209" s="5"/>
      <c r="GI209" s="5"/>
      <c r="GJ209" s="5"/>
      <c r="GK209" s="5"/>
      <c r="GL209" s="5"/>
      <c r="GM209" s="5"/>
      <c r="GN209" s="5"/>
      <c r="GO209" s="5"/>
      <c r="GP209" s="5"/>
      <c r="GQ209" s="5"/>
      <c r="GR209" s="5"/>
      <c r="GS209" s="5"/>
      <c r="GT209" s="5"/>
      <c r="GU209" s="5"/>
      <c r="GV209" s="5"/>
      <c r="GW209" s="5"/>
      <c r="GX209" s="5"/>
      <c r="GY209" s="5"/>
      <c r="GZ209" s="5"/>
    </row>
    <row r="210" spans="20:208" x14ac:dyDescent="0.25"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  <c r="DH210" s="5"/>
      <c r="DI210" s="5"/>
      <c r="DJ210" s="5"/>
      <c r="DK210" s="5"/>
      <c r="DL210" s="5"/>
      <c r="DM210" s="5"/>
      <c r="DN210" s="5"/>
      <c r="DO210" s="5"/>
      <c r="DP210" s="5"/>
      <c r="DQ210" s="5"/>
      <c r="DR210" s="5"/>
      <c r="DS210" s="5"/>
      <c r="DT210" s="5"/>
      <c r="DU210" s="5"/>
      <c r="DV210" s="5"/>
      <c r="DW210" s="5"/>
      <c r="DX210" s="5"/>
      <c r="DY210" s="5"/>
      <c r="DZ210" s="5"/>
      <c r="EA210" s="5"/>
      <c r="EB210" s="5"/>
      <c r="EC210" s="5"/>
      <c r="ED210" s="5"/>
      <c r="EE210" s="5"/>
      <c r="EF210" s="5"/>
      <c r="EG210" s="5"/>
      <c r="EH210" s="5"/>
      <c r="EI210" s="5"/>
      <c r="EJ210" s="5"/>
      <c r="EK210" s="5"/>
      <c r="EL210" s="5"/>
      <c r="EM210" s="5"/>
      <c r="EN210" s="5"/>
      <c r="EO210" s="5"/>
      <c r="EP210" s="5"/>
      <c r="EQ210" s="5"/>
      <c r="ER210" s="5"/>
      <c r="ES210" s="5"/>
      <c r="ET210" s="5"/>
      <c r="EU210" s="5"/>
      <c r="EV210" s="5"/>
      <c r="EW210" s="5"/>
      <c r="EX210" s="5"/>
      <c r="EY210" s="5"/>
      <c r="EZ210" s="5"/>
      <c r="FA210" s="5"/>
      <c r="FB210" s="5"/>
      <c r="FC210" s="5"/>
      <c r="FD210" s="5"/>
      <c r="FE210" s="5"/>
      <c r="FF210" s="5"/>
      <c r="FG210" s="5"/>
      <c r="FH210" s="5"/>
      <c r="FI210" s="5"/>
      <c r="FJ210" s="5"/>
      <c r="FK210" s="5"/>
      <c r="FL210" s="5"/>
      <c r="FM210" s="5"/>
      <c r="FN210" s="5"/>
      <c r="FO210" s="5"/>
      <c r="FP210" s="5"/>
      <c r="FQ210" s="5"/>
      <c r="FR210" s="5"/>
      <c r="FS210" s="5"/>
      <c r="FT210" s="5"/>
      <c r="FU210" s="5"/>
      <c r="FV210" s="5"/>
      <c r="FW210" s="5"/>
      <c r="FX210" s="5"/>
      <c r="FY210" s="5"/>
      <c r="FZ210" s="5"/>
      <c r="GA210" s="5"/>
      <c r="GB210" s="5"/>
      <c r="GC210" s="5"/>
      <c r="GD210" s="5"/>
      <c r="GE210" s="5"/>
      <c r="GF210" s="5"/>
      <c r="GG210" s="5"/>
      <c r="GH210" s="5"/>
      <c r="GI210" s="5"/>
      <c r="GJ210" s="5"/>
      <c r="GK210" s="5"/>
      <c r="GL210" s="5"/>
      <c r="GM210" s="5"/>
      <c r="GN210" s="5"/>
      <c r="GO210" s="5"/>
      <c r="GP210" s="5"/>
      <c r="GQ210" s="5"/>
      <c r="GR210" s="5"/>
      <c r="GS210" s="5"/>
      <c r="GT210" s="5"/>
      <c r="GU210" s="5"/>
      <c r="GV210" s="5"/>
      <c r="GW210" s="5"/>
      <c r="GX210" s="5"/>
      <c r="GY210" s="5"/>
      <c r="GZ210" s="5"/>
    </row>
    <row r="211" spans="20:208" x14ac:dyDescent="0.25"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  <c r="DH211" s="5"/>
      <c r="DI211" s="5"/>
      <c r="DJ211" s="5"/>
      <c r="DK211" s="5"/>
      <c r="DL211" s="5"/>
      <c r="DM211" s="5"/>
      <c r="DN211" s="5"/>
      <c r="DO211" s="5"/>
      <c r="DP211" s="5"/>
      <c r="DQ211" s="5"/>
      <c r="DR211" s="5"/>
      <c r="DS211" s="5"/>
      <c r="DT211" s="5"/>
      <c r="DU211" s="5"/>
      <c r="DV211" s="5"/>
      <c r="DW211" s="5"/>
      <c r="DX211" s="5"/>
      <c r="DY211" s="5"/>
      <c r="DZ211" s="5"/>
      <c r="EA211" s="5"/>
      <c r="EB211" s="5"/>
      <c r="EC211" s="5"/>
      <c r="ED211" s="5"/>
      <c r="EE211" s="5"/>
      <c r="EF211" s="5"/>
      <c r="EG211" s="5"/>
      <c r="EH211" s="5"/>
      <c r="EI211" s="5"/>
      <c r="EJ211" s="5"/>
      <c r="EK211" s="5"/>
      <c r="EL211" s="5"/>
      <c r="EM211" s="5"/>
      <c r="EN211" s="5"/>
      <c r="EO211" s="5"/>
      <c r="EP211" s="5"/>
      <c r="EQ211" s="5"/>
      <c r="ER211" s="5"/>
      <c r="ES211" s="5"/>
      <c r="ET211" s="5"/>
      <c r="EU211" s="5"/>
      <c r="EV211" s="5"/>
      <c r="EW211" s="5"/>
      <c r="EX211" s="5"/>
      <c r="EY211" s="5"/>
      <c r="EZ211" s="5"/>
      <c r="FA211" s="5"/>
      <c r="FB211" s="5"/>
      <c r="FC211" s="5"/>
      <c r="FD211" s="5"/>
      <c r="FE211" s="5"/>
      <c r="FF211" s="5"/>
      <c r="FG211" s="5"/>
      <c r="FH211" s="5"/>
      <c r="FI211" s="5"/>
      <c r="FJ211" s="5"/>
      <c r="FK211" s="5"/>
      <c r="FL211" s="5"/>
      <c r="FM211" s="5"/>
      <c r="FN211" s="5"/>
      <c r="FO211" s="5"/>
      <c r="FP211" s="5"/>
      <c r="FQ211" s="5"/>
      <c r="FR211" s="5"/>
      <c r="FS211" s="5"/>
      <c r="FT211" s="5"/>
      <c r="FU211" s="5"/>
      <c r="FV211" s="5"/>
      <c r="FW211" s="5"/>
      <c r="FX211" s="5"/>
      <c r="FY211" s="5"/>
      <c r="FZ211" s="5"/>
      <c r="GA211" s="5"/>
      <c r="GB211" s="5"/>
      <c r="GC211" s="5"/>
      <c r="GD211" s="5"/>
      <c r="GE211" s="5"/>
      <c r="GF211" s="5"/>
      <c r="GG211" s="5"/>
      <c r="GH211" s="5"/>
      <c r="GI211" s="5"/>
      <c r="GJ211" s="5"/>
      <c r="GK211" s="5"/>
      <c r="GL211" s="5"/>
      <c r="GM211" s="5"/>
      <c r="GN211" s="5"/>
      <c r="GO211" s="5"/>
      <c r="GP211" s="5"/>
      <c r="GQ211" s="5"/>
      <c r="GR211" s="5"/>
      <c r="GS211" s="5"/>
      <c r="GT211" s="5"/>
      <c r="GU211" s="5"/>
      <c r="GV211" s="5"/>
      <c r="GW211" s="5"/>
      <c r="GX211" s="5"/>
      <c r="GY211" s="5"/>
      <c r="GZ211" s="5"/>
    </row>
    <row r="219" spans="20:208" x14ac:dyDescent="0.25">
      <c r="CG219" s="12"/>
      <c r="CH219" s="12"/>
      <c r="CI219" s="12"/>
      <c r="CJ219" s="12"/>
      <c r="CK219" s="12"/>
      <c r="CL219" s="12"/>
      <c r="CM219" s="12"/>
      <c r="CN219" s="12"/>
      <c r="CO219" s="12"/>
      <c r="CP219" s="12"/>
      <c r="CQ219" s="12"/>
    </row>
    <row r="220" spans="20:208" x14ac:dyDescent="0.25">
      <c r="CG220" s="12"/>
      <c r="CH220" s="12"/>
      <c r="CI220" s="12"/>
      <c r="CJ220" s="12"/>
      <c r="CK220" s="12"/>
      <c r="CL220" s="12"/>
      <c r="CM220" s="12"/>
      <c r="CN220" s="12"/>
      <c r="CO220" s="12"/>
      <c r="CP220" s="12"/>
      <c r="CQ220" s="12"/>
    </row>
  </sheetData>
  <sheetProtection algorithmName="SHA-512" hashValue="IgzlaX/05a2wqXq9T1Rw0LGNTWmHhWR8JSHCy3UPxgyVDkkX+UuTpjW71pwXvnQ6r7rXV4gkfDXJ+oiAGpimYw==" saltValue="+rqstiIDvCCtiyofRoeOmg==" spinCount="100000" sheet="1" formatCells="0" formatColumns="0" formatRows="0" selectLockedCells="1" sort="0" autoFilter="0"/>
  <mergeCells count="553">
    <mergeCell ref="AP35:AW35"/>
    <mergeCell ref="U38:AV38"/>
    <mergeCell ref="AP36:AW36"/>
    <mergeCell ref="Y43:AJ43"/>
    <mergeCell ref="K29:AW29"/>
    <mergeCell ref="G29:I29"/>
    <mergeCell ref="AQ191:AW191"/>
    <mergeCell ref="AS47:AW47"/>
    <mergeCell ref="AA55:AU55"/>
    <mergeCell ref="AF190:AW190"/>
    <mergeCell ref="G43:X43"/>
    <mergeCell ref="U39:AV39"/>
    <mergeCell ref="AK43:AP43"/>
    <mergeCell ref="AQ43:AW43"/>
    <mergeCell ref="AF189:AW189"/>
    <mergeCell ref="V88:AB88"/>
    <mergeCell ref="O90:U90"/>
    <mergeCell ref="V55:Z55"/>
    <mergeCell ref="G53:AI53"/>
    <mergeCell ref="G63:P63"/>
    <mergeCell ref="AC63:AK63"/>
    <mergeCell ref="AK49:AP49"/>
    <mergeCell ref="Y44:AJ44"/>
    <mergeCell ref="G47:P47"/>
    <mergeCell ref="T3:AU3"/>
    <mergeCell ref="T4:AU4"/>
    <mergeCell ref="T5:AU5"/>
    <mergeCell ref="G18:AW18"/>
    <mergeCell ref="G20:AW20"/>
    <mergeCell ref="G22:I22"/>
    <mergeCell ref="G24:I24"/>
    <mergeCell ref="K10:M10"/>
    <mergeCell ref="K25:AW25"/>
    <mergeCell ref="G28:I28"/>
    <mergeCell ref="K28:AW28"/>
    <mergeCell ref="G30:I30"/>
    <mergeCell ref="K30:AW30"/>
    <mergeCell ref="K22:AW22"/>
    <mergeCell ref="O13:AW16"/>
    <mergeCell ref="G10:I10"/>
    <mergeCell ref="AF185:AW185"/>
    <mergeCell ref="G124:AW124"/>
    <mergeCell ref="G123:AW123"/>
    <mergeCell ref="AS102:AW102"/>
    <mergeCell ref="H184:Z184"/>
    <mergeCell ref="AS99:AW99"/>
    <mergeCell ref="I185:Z185"/>
    <mergeCell ref="AI47:AJ47"/>
    <mergeCell ref="AK47:AP47"/>
    <mergeCell ref="V86:AB86"/>
    <mergeCell ref="G84:U84"/>
    <mergeCell ref="G69:AW69"/>
    <mergeCell ref="G66:P66"/>
    <mergeCell ref="V87:AB87"/>
    <mergeCell ref="G176:AW176"/>
    <mergeCell ref="AN100:AR100"/>
    <mergeCell ref="G105:H105"/>
    <mergeCell ref="BS36:BX39"/>
    <mergeCell ref="AF191:AK191"/>
    <mergeCell ref="G100:H100"/>
    <mergeCell ref="I100:W100"/>
    <mergeCell ref="O10:AW11"/>
    <mergeCell ref="G13:I13"/>
    <mergeCell ref="K13:M13"/>
    <mergeCell ref="I99:W99"/>
    <mergeCell ref="G25:I25"/>
    <mergeCell ref="G96:AW96"/>
    <mergeCell ref="G26:I26"/>
    <mergeCell ref="K26:AW26"/>
    <mergeCell ref="K27:AW27"/>
    <mergeCell ref="K24:AW24"/>
    <mergeCell ref="G27:I27"/>
    <mergeCell ref="G99:H99"/>
    <mergeCell ref="V90:AB90"/>
    <mergeCell ref="AB99:AH99"/>
    <mergeCell ref="O86:U86"/>
    <mergeCell ref="AV55:AW55"/>
    <mergeCell ref="AT65:AW66"/>
    <mergeCell ref="G70:AW70"/>
    <mergeCell ref="G71:M71"/>
    <mergeCell ref="AR80:AW80"/>
    <mergeCell ref="G49:P49"/>
    <mergeCell ref="G94:AW94"/>
    <mergeCell ref="G74:L74"/>
    <mergeCell ref="N74:AA74"/>
    <mergeCell ref="AB74:AW74"/>
    <mergeCell ref="R75:AC75"/>
    <mergeCell ref="AD75:AW75"/>
    <mergeCell ref="AQ47:AR47"/>
    <mergeCell ref="T58:W58"/>
    <mergeCell ref="AA56:AU56"/>
    <mergeCell ref="AB49:AH49"/>
    <mergeCell ref="AI49:AJ49"/>
    <mergeCell ref="G79:AN79"/>
    <mergeCell ref="AQ49:AW49"/>
    <mergeCell ref="AU79:AW79"/>
    <mergeCell ref="G76:AG76"/>
    <mergeCell ref="AH76:AR76"/>
    <mergeCell ref="AR64:AW64"/>
    <mergeCell ref="O89:U89"/>
    <mergeCell ref="G80:U80"/>
    <mergeCell ref="V80:AB80"/>
    <mergeCell ref="AK58:AP58"/>
    <mergeCell ref="G73:L73"/>
    <mergeCell ref="N73:AA73"/>
    <mergeCell ref="AQ44:AR44"/>
    <mergeCell ref="AK46:AP46"/>
    <mergeCell ref="AK44:AP44"/>
    <mergeCell ref="G44:X44"/>
    <mergeCell ref="T57:AC57"/>
    <mergeCell ref="AJ53:AW53"/>
    <mergeCell ref="G46:P46"/>
    <mergeCell ref="AJ54:AW54"/>
    <mergeCell ref="Q49:AA49"/>
    <mergeCell ref="AV56:AW56"/>
    <mergeCell ref="V56:Z56"/>
    <mergeCell ref="AI46:AJ46"/>
    <mergeCell ref="AS44:AW44"/>
    <mergeCell ref="AQ46:AW46"/>
    <mergeCell ref="AK57:AP57"/>
    <mergeCell ref="Q46:AA46"/>
    <mergeCell ref="AB46:AH46"/>
    <mergeCell ref="G56:U56"/>
    <mergeCell ref="G50:P50"/>
    <mergeCell ref="G55:U55"/>
    <mergeCell ref="G54:AI54"/>
    <mergeCell ref="Q47:AA47"/>
    <mergeCell ref="AB47:AH47"/>
    <mergeCell ref="AI50:AJ50"/>
    <mergeCell ref="AB73:AW73"/>
    <mergeCell ref="AK50:AP50"/>
    <mergeCell ref="G57:L57"/>
    <mergeCell ref="N71:T71"/>
    <mergeCell ref="U71:AB71"/>
    <mergeCell ref="AC71:AI71"/>
    <mergeCell ref="AJ71:AP71"/>
    <mergeCell ref="AQ71:AW71"/>
    <mergeCell ref="AC72:AH72"/>
    <mergeCell ref="AJ72:AO72"/>
    <mergeCell ref="AR72:AW72"/>
    <mergeCell ref="AR63:AW63"/>
    <mergeCell ref="M58:S58"/>
    <mergeCell ref="G62:AW62"/>
    <mergeCell ref="Y58:AB58"/>
    <mergeCell ref="W65:AB65"/>
    <mergeCell ref="AC65:AE65"/>
    <mergeCell ref="AO65:AS66"/>
    <mergeCell ref="Q63:V63"/>
    <mergeCell ref="Q64:V64"/>
    <mergeCell ref="G58:L58"/>
    <mergeCell ref="G103:H103"/>
    <mergeCell ref="AB103:AH103"/>
    <mergeCell ref="AI103:AL103"/>
    <mergeCell ref="X102:AA102"/>
    <mergeCell ref="G101:H101"/>
    <mergeCell ref="AB107:AH107"/>
    <mergeCell ref="AI107:AL107"/>
    <mergeCell ref="G104:H104"/>
    <mergeCell ref="G102:H102"/>
    <mergeCell ref="AI101:AL101"/>
    <mergeCell ref="I103:W103"/>
    <mergeCell ref="X103:AA103"/>
    <mergeCell ref="AB102:AH102"/>
    <mergeCell ref="AI102:AL102"/>
    <mergeCell ref="X101:AA101"/>
    <mergeCell ref="I102:W102"/>
    <mergeCell ref="I101:W101"/>
    <mergeCell ref="I105:W105"/>
    <mergeCell ref="X108:AA108"/>
    <mergeCell ref="AB108:AH108"/>
    <mergeCell ref="AH64:AK64"/>
    <mergeCell ref="AD57:AJ57"/>
    <mergeCell ref="AD58:AJ58"/>
    <mergeCell ref="G110:H110"/>
    <mergeCell ref="I110:W110"/>
    <mergeCell ref="G107:H107"/>
    <mergeCell ref="I107:W107"/>
    <mergeCell ref="X107:AA107"/>
    <mergeCell ref="G109:H109"/>
    <mergeCell ref="I109:W109"/>
    <mergeCell ref="X106:AA106"/>
    <mergeCell ref="AB106:AH106"/>
    <mergeCell ref="AI106:AL106"/>
    <mergeCell ref="AI108:AL108"/>
    <mergeCell ref="G106:H106"/>
    <mergeCell ref="I106:W106"/>
    <mergeCell ref="G108:H108"/>
    <mergeCell ref="I108:W108"/>
    <mergeCell ref="X109:AA109"/>
    <mergeCell ref="AB109:AH109"/>
    <mergeCell ref="AI109:AL109"/>
    <mergeCell ref="X110:AA110"/>
    <mergeCell ref="G111:H111"/>
    <mergeCell ref="I111:W111"/>
    <mergeCell ref="X111:AA111"/>
    <mergeCell ref="G127:H127"/>
    <mergeCell ref="I127:Y127"/>
    <mergeCell ref="S121:AA121"/>
    <mergeCell ref="S120:W120"/>
    <mergeCell ref="X120:AA120"/>
    <mergeCell ref="I118:W118"/>
    <mergeCell ref="G119:R121"/>
    <mergeCell ref="G118:H118"/>
    <mergeCell ref="Z127:AE127"/>
    <mergeCell ref="X117:AA117"/>
    <mergeCell ref="AB117:AH117"/>
    <mergeCell ref="AB121:AH121"/>
    <mergeCell ref="AB120:AH120"/>
    <mergeCell ref="X114:AA114"/>
    <mergeCell ref="AB114:AH114"/>
    <mergeCell ref="G114:H114"/>
    <mergeCell ref="I114:W114"/>
    <mergeCell ref="G112:H112"/>
    <mergeCell ref="I112:W112"/>
    <mergeCell ref="X112:AA112"/>
    <mergeCell ref="AB112:AH112"/>
    <mergeCell ref="I117:W117"/>
    <mergeCell ref="AI117:AL117"/>
    <mergeCell ref="AI116:AL116"/>
    <mergeCell ref="AI115:AL115"/>
    <mergeCell ref="AI114:AL114"/>
    <mergeCell ref="AI112:AL112"/>
    <mergeCell ref="G113:H113"/>
    <mergeCell ref="I113:W113"/>
    <mergeCell ref="X113:AA113"/>
    <mergeCell ref="G115:H115"/>
    <mergeCell ref="I115:W115"/>
    <mergeCell ref="X115:AA115"/>
    <mergeCell ref="AB115:AH115"/>
    <mergeCell ref="G116:H116"/>
    <mergeCell ref="I116:W116"/>
    <mergeCell ref="X116:AA116"/>
    <mergeCell ref="AB113:AH113"/>
    <mergeCell ref="G134:H134"/>
    <mergeCell ref="I136:Y136"/>
    <mergeCell ref="G135:H135"/>
    <mergeCell ref="I135:Y135"/>
    <mergeCell ref="G130:H130"/>
    <mergeCell ref="I130:Y130"/>
    <mergeCell ref="I133:Y133"/>
    <mergeCell ref="Z130:AE130"/>
    <mergeCell ref="I134:Y134"/>
    <mergeCell ref="G133:H133"/>
    <mergeCell ref="Z136:AE136"/>
    <mergeCell ref="G131:H131"/>
    <mergeCell ref="I131:Y131"/>
    <mergeCell ref="G136:H136"/>
    <mergeCell ref="Z132:AE132"/>
    <mergeCell ref="G132:H132"/>
    <mergeCell ref="I132:Y132"/>
    <mergeCell ref="Z133:AE133"/>
    <mergeCell ref="BS68:CC78"/>
    <mergeCell ref="AS50:AW50"/>
    <mergeCell ref="Q50:AA50"/>
    <mergeCell ref="AB50:AH50"/>
    <mergeCell ref="W63:AB63"/>
    <mergeCell ref="AF66:AN66"/>
    <mergeCell ref="BS64:CC67"/>
    <mergeCell ref="G68:AW68"/>
    <mergeCell ref="AF65:AN65"/>
    <mergeCell ref="AL64:AQ64"/>
    <mergeCell ref="G65:P65"/>
    <mergeCell ref="AQ50:AR50"/>
    <mergeCell ref="G52:AW52"/>
    <mergeCell ref="AC66:AE66"/>
    <mergeCell ref="W66:AB66"/>
    <mergeCell ref="M57:S57"/>
    <mergeCell ref="Q65:V65"/>
    <mergeCell ref="Q66:V66"/>
    <mergeCell ref="W64:AB64"/>
    <mergeCell ref="AL63:AQ63"/>
    <mergeCell ref="AS76:AW76"/>
    <mergeCell ref="G72:L72"/>
    <mergeCell ref="N72:S72"/>
    <mergeCell ref="U72:AA72"/>
    <mergeCell ref="AI110:AL110"/>
    <mergeCell ref="AC86:AW86"/>
    <mergeCell ref="AS106:AW106"/>
    <mergeCell ref="AN106:AR106"/>
    <mergeCell ref="AN107:AR107"/>
    <mergeCell ref="AN99:AR99"/>
    <mergeCell ref="AN97:AW97"/>
    <mergeCell ref="AB101:AH101"/>
    <mergeCell ref="AN105:AR105"/>
    <mergeCell ref="AB110:AH110"/>
    <mergeCell ref="AN102:AR102"/>
    <mergeCell ref="AI99:AL99"/>
    <mergeCell ref="AN98:AR98"/>
    <mergeCell ref="X97:AL97"/>
    <mergeCell ref="AS104:AW104"/>
    <mergeCell ref="AI104:AL104"/>
    <mergeCell ref="AB104:AH104"/>
    <mergeCell ref="AS101:AW101"/>
    <mergeCell ref="AN101:AR101"/>
    <mergeCell ref="AI98:AL98"/>
    <mergeCell ref="X105:AA105"/>
    <mergeCell ref="AB105:AH105"/>
    <mergeCell ref="AI105:AL105"/>
    <mergeCell ref="X99:AA99"/>
    <mergeCell ref="AB111:AH111"/>
    <mergeCell ref="AI111:AL111"/>
    <mergeCell ref="AS111:AW111"/>
    <mergeCell ref="AS114:AW114"/>
    <mergeCell ref="AN114:AR114"/>
    <mergeCell ref="AS113:AW113"/>
    <mergeCell ref="AN113:AR113"/>
    <mergeCell ref="AS112:AW112"/>
    <mergeCell ref="AN112:AR112"/>
    <mergeCell ref="AI113:AL113"/>
    <mergeCell ref="X98:AA98"/>
    <mergeCell ref="AS105:AW105"/>
    <mergeCell ref="I104:W104"/>
    <mergeCell ref="X104:AA104"/>
    <mergeCell ref="AN104:AR104"/>
    <mergeCell ref="AS103:AW103"/>
    <mergeCell ref="AN103:AR103"/>
    <mergeCell ref="X100:AA100"/>
    <mergeCell ref="AS100:AW100"/>
    <mergeCell ref="AI100:AL100"/>
    <mergeCell ref="I97:W98"/>
    <mergeCell ref="AS98:AW98"/>
    <mergeCell ref="AB100:AH100"/>
    <mergeCell ref="AI119:AM119"/>
    <mergeCell ref="S119:AA119"/>
    <mergeCell ref="AG131:AO131"/>
    <mergeCell ref="AB116:AH116"/>
    <mergeCell ref="AG128:AO128"/>
    <mergeCell ref="AT127:AW127"/>
    <mergeCell ref="AS118:AW118"/>
    <mergeCell ref="AN118:AR118"/>
    <mergeCell ref="AP129:AS129"/>
    <mergeCell ref="G126:AW126"/>
    <mergeCell ref="AP131:AS131"/>
    <mergeCell ref="AS116:AW116"/>
    <mergeCell ref="G129:H129"/>
    <mergeCell ref="G117:H117"/>
    <mergeCell ref="G128:H128"/>
    <mergeCell ref="I128:Y128"/>
    <mergeCell ref="AB119:AH119"/>
    <mergeCell ref="Z128:AE128"/>
    <mergeCell ref="Z131:AE131"/>
    <mergeCell ref="I129:Y129"/>
    <mergeCell ref="Z129:AE129"/>
    <mergeCell ref="X118:AA118"/>
    <mergeCell ref="AI118:AL118"/>
    <mergeCell ref="AB118:AH118"/>
    <mergeCell ref="AQ151:AW151"/>
    <mergeCell ref="AO145:AP145"/>
    <mergeCell ref="AM145:AN145"/>
    <mergeCell ref="AQ145:AW145"/>
    <mergeCell ref="AQ144:AW144"/>
    <mergeCell ref="AQ152:AW152"/>
    <mergeCell ref="AK150:AL150"/>
    <mergeCell ref="AK145:AL145"/>
    <mergeCell ref="AQ142:AW143"/>
    <mergeCell ref="AO150:AP150"/>
    <mergeCell ref="AM149:AN149"/>
    <mergeCell ref="AM150:AN150"/>
    <mergeCell ref="AK149:AL149"/>
    <mergeCell ref="G141:AI141"/>
    <mergeCell ref="Z134:AE134"/>
    <mergeCell ref="AS141:AT141"/>
    <mergeCell ref="AU141:AW141"/>
    <mergeCell ref="AK140:AW140"/>
    <mergeCell ref="AK141:AR141"/>
    <mergeCell ref="AQ148:AW148"/>
    <mergeCell ref="AM144:AN144"/>
    <mergeCell ref="I137:Y137"/>
    <mergeCell ref="Z137:AE137"/>
    <mergeCell ref="AK146:AL146"/>
    <mergeCell ref="AO144:AP144"/>
    <mergeCell ref="AK142:AL143"/>
    <mergeCell ref="AM142:AN143"/>
    <mergeCell ref="G138:Y138"/>
    <mergeCell ref="G137:H137"/>
    <mergeCell ref="AK147:AL147"/>
    <mergeCell ref="AM146:AN146"/>
    <mergeCell ref="G140:AI140"/>
    <mergeCell ref="AO142:AP143"/>
    <mergeCell ref="AK144:AL144"/>
    <mergeCell ref="Z135:AE135"/>
    <mergeCell ref="AK148:AL148"/>
    <mergeCell ref="AM148:AN148"/>
    <mergeCell ref="Z138:AE138"/>
    <mergeCell ref="AO148:AP148"/>
    <mergeCell ref="AO149:AP149"/>
    <mergeCell ref="AM147:AN147"/>
    <mergeCell ref="AG134:AW138"/>
    <mergeCell ref="AQ149:AW149"/>
    <mergeCell ref="AO164:AP164"/>
    <mergeCell ref="AO152:AP152"/>
    <mergeCell ref="AK161:AL161"/>
    <mergeCell ref="AK162:AL162"/>
    <mergeCell ref="AK163:AL163"/>
    <mergeCell ref="AM153:AN153"/>
    <mergeCell ref="AM152:AN152"/>
    <mergeCell ref="AK156:AL156"/>
    <mergeCell ref="AM154:AN154"/>
    <mergeCell ref="AM156:AN156"/>
    <mergeCell ref="AK152:AL152"/>
    <mergeCell ref="AK157:AL157"/>
    <mergeCell ref="AK153:AL153"/>
    <mergeCell ref="AK154:AL154"/>
    <mergeCell ref="AO151:AP151"/>
    <mergeCell ref="AK151:AL151"/>
    <mergeCell ref="AM151:AN151"/>
    <mergeCell ref="AQ153:AW153"/>
    <mergeCell ref="AQ161:AW161"/>
    <mergeCell ref="AO153:AP153"/>
    <mergeCell ref="AQ157:AW157"/>
    <mergeCell ref="AO154:AP154"/>
    <mergeCell ref="AO156:AP156"/>
    <mergeCell ref="AM159:AN159"/>
    <mergeCell ref="AM160:AN160"/>
    <mergeCell ref="AO168:AP168"/>
    <mergeCell ref="AO166:AP166"/>
    <mergeCell ref="AO155:AP155"/>
    <mergeCell ref="AO161:AP161"/>
    <mergeCell ref="AO162:AP162"/>
    <mergeCell ref="AM167:AN167"/>
    <mergeCell ref="AM166:AN166"/>
    <mergeCell ref="G164:AI164"/>
    <mergeCell ref="AM165:AN165"/>
    <mergeCell ref="AO165:AP165"/>
    <mergeCell ref="AM157:AN157"/>
    <mergeCell ref="AM158:AN158"/>
    <mergeCell ref="AM161:AN161"/>
    <mergeCell ref="AM163:AN163"/>
    <mergeCell ref="AM164:AN164"/>
    <mergeCell ref="AM162:AN162"/>
    <mergeCell ref="AK164:AL164"/>
    <mergeCell ref="AK165:AL165"/>
    <mergeCell ref="AO157:AP157"/>
    <mergeCell ref="AK166:AL166"/>
    <mergeCell ref="AF186:AK186"/>
    <mergeCell ref="AQ57:AW57"/>
    <mergeCell ref="AQ58:AW58"/>
    <mergeCell ref="AC80:AE80"/>
    <mergeCell ref="AC81:AE81"/>
    <mergeCell ref="AF80:AH80"/>
    <mergeCell ref="AI80:AK80"/>
    <mergeCell ref="AL80:AN80"/>
    <mergeCell ref="AT129:AW129"/>
    <mergeCell ref="AT128:AW128"/>
    <mergeCell ref="AO80:AQ80"/>
    <mergeCell ref="AC64:AG64"/>
    <mergeCell ref="AG127:AO127"/>
    <mergeCell ref="AP127:AS127"/>
    <mergeCell ref="AP128:AS128"/>
    <mergeCell ref="AM85:AW85"/>
    <mergeCell ref="AP82:AW82"/>
    <mergeCell ref="AP83:AW83"/>
    <mergeCell ref="AC85:AG85"/>
    <mergeCell ref="AT130:AW130"/>
    <mergeCell ref="AP130:AS130"/>
    <mergeCell ref="AG129:AO129"/>
    <mergeCell ref="AI83:AO83"/>
    <mergeCell ref="AK167:AL167"/>
    <mergeCell ref="AO160:AP160"/>
    <mergeCell ref="AN110:AR110"/>
    <mergeCell ref="AS108:AW108"/>
    <mergeCell ref="AN119:AW119"/>
    <mergeCell ref="AN111:AR111"/>
    <mergeCell ref="AF184:AW184"/>
    <mergeCell ref="AQ155:AW155"/>
    <mergeCell ref="AG132:AW133"/>
    <mergeCell ref="AG130:AO130"/>
    <mergeCell ref="AO146:AP146"/>
    <mergeCell ref="AO147:AP147"/>
    <mergeCell ref="AQ146:AW146"/>
    <mergeCell ref="AQ147:AW147"/>
    <mergeCell ref="G142:AI163"/>
    <mergeCell ref="AT131:AW131"/>
    <mergeCell ref="AQ163:AW163"/>
    <mergeCell ref="AK155:AL155"/>
    <mergeCell ref="AK160:AL160"/>
    <mergeCell ref="AK159:AL159"/>
    <mergeCell ref="AK158:AL158"/>
    <mergeCell ref="AM155:AN155"/>
    <mergeCell ref="AK168:AL168"/>
    <mergeCell ref="G165:AI168"/>
    <mergeCell ref="AS110:AW110"/>
    <mergeCell ref="G177:N181"/>
    <mergeCell ref="AQ164:AW164"/>
    <mergeCell ref="AQ165:AW165"/>
    <mergeCell ref="AQ150:AW150"/>
    <mergeCell ref="AQ159:AW159"/>
    <mergeCell ref="AQ156:AW156"/>
    <mergeCell ref="AQ154:AW154"/>
    <mergeCell ref="AS115:AW115"/>
    <mergeCell ref="AN115:AR115"/>
    <mergeCell ref="AN120:AW120"/>
    <mergeCell ref="G170:AW170"/>
    <mergeCell ref="G171:AW174"/>
    <mergeCell ref="AQ160:AW160"/>
    <mergeCell ref="AQ158:AW158"/>
    <mergeCell ref="AQ168:AW168"/>
    <mergeCell ref="AO167:AP167"/>
    <mergeCell ref="AQ167:AW167"/>
    <mergeCell ref="AQ166:AW166"/>
    <mergeCell ref="AM168:AN168"/>
    <mergeCell ref="AO163:AP163"/>
    <mergeCell ref="AQ162:AW162"/>
    <mergeCell ref="AO158:AP158"/>
    <mergeCell ref="AO159:AP159"/>
    <mergeCell ref="V89:AB89"/>
    <mergeCell ref="AS117:AW117"/>
    <mergeCell ref="AN117:AR117"/>
    <mergeCell ref="AN116:AR116"/>
    <mergeCell ref="G78:AW78"/>
    <mergeCell ref="AH85:AL85"/>
    <mergeCell ref="AM84:AW84"/>
    <mergeCell ref="AR81:AW81"/>
    <mergeCell ref="AC84:AG84"/>
    <mergeCell ref="O87:U87"/>
    <mergeCell ref="G83:U83"/>
    <mergeCell ref="AC82:AH82"/>
    <mergeCell ref="AC83:AH83"/>
    <mergeCell ref="AI82:AO82"/>
    <mergeCell ref="AO79:AT79"/>
    <mergeCell ref="G81:U81"/>
    <mergeCell ref="G82:U82"/>
    <mergeCell ref="V91:AB91"/>
    <mergeCell ref="O91:U91"/>
    <mergeCell ref="AC90:AW91"/>
    <mergeCell ref="AS107:AW107"/>
    <mergeCell ref="AN109:AR109"/>
    <mergeCell ref="AS109:AW109"/>
    <mergeCell ref="AN108:AR108"/>
    <mergeCell ref="O177:AW181"/>
    <mergeCell ref="G90:N90"/>
    <mergeCell ref="V82:AB82"/>
    <mergeCell ref="V81:AB81"/>
    <mergeCell ref="AH84:AL84"/>
    <mergeCell ref="G97:H98"/>
    <mergeCell ref="V83:AB83"/>
    <mergeCell ref="G93:AW93"/>
    <mergeCell ref="AC87:AW88"/>
    <mergeCell ref="AB98:AH98"/>
    <mergeCell ref="V84:AB84"/>
    <mergeCell ref="G85:U85"/>
    <mergeCell ref="V85:AB85"/>
    <mergeCell ref="G86:N86"/>
    <mergeCell ref="G87:N87"/>
    <mergeCell ref="AF81:AH81"/>
    <mergeCell ref="AI81:AK81"/>
    <mergeCell ref="AL81:AN81"/>
    <mergeCell ref="AO81:AQ81"/>
    <mergeCell ref="G88:N88"/>
    <mergeCell ref="O88:U88"/>
    <mergeCell ref="G91:N91"/>
    <mergeCell ref="AC89:AW89"/>
    <mergeCell ref="G89:N89"/>
  </mergeCells>
  <phoneticPr fontId="5" type="noConversion"/>
  <conditionalFormatting sqref="G13:G14">
    <cfRule type="cellIs" dxfId="237" priority="566" stopIfTrue="1" operator="equal">
      <formula>0</formula>
    </cfRule>
  </conditionalFormatting>
  <conditionalFormatting sqref="I97 X98 AB98:AD98 AS104:AS118 AN109:AO118">
    <cfRule type="expression" dxfId="236" priority="503" stopIfTrue="1">
      <formula>recursos&lt;&gt;"FGTS/SBPE"</formula>
    </cfRule>
  </conditionalFormatting>
  <conditionalFormatting sqref="G119">
    <cfRule type="expression" dxfId="235" priority="488" stopIfTrue="1">
      <formula>recursos&lt;&gt;"FGTS/SBPE"</formula>
    </cfRule>
  </conditionalFormatting>
  <conditionalFormatting sqref="Z127:AB127">
    <cfRule type="expression" dxfId="234" priority="474" stopIfTrue="1">
      <formula>recursos&lt;&gt;"FGTS/SBPE"</formula>
    </cfRule>
  </conditionalFormatting>
  <conditionalFormatting sqref="AF65:AN66">
    <cfRule type="cellIs" dxfId="233" priority="56" stopIfTrue="1" operator="notEqual">
      <formula>0</formula>
    </cfRule>
  </conditionalFormatting>
  <conditionalFormatting sqref="AC65:AE65">
    <cfRule type="cellIs" dxfId="232" priority="375" stopIfTrue="1" operator="notEqual">
      <formula>AC65&amp;F66</formula>
    </cfRule>
  </conditionalFormatting>
  <conditionalFormatting sqref="AC66:AE66">
    <cfRule type="cellIs" dxfId="231" priority="374" stopIfTrue="1" operator="notEqual">
      <formula>AC66&amp;F67</formula>
    </cfRule>
  </conditionalFormatting>
  <conditionalFormatting sqref="AC64:AD64">
    <cfRule type="cellIs" dxfId="230" priority="372" stopIfTrue="1" operator="notEqual">
      <formula>AC64&amp;F65</formula>
    </cfRule>
  </conditionalFormatting>
  <conditionalFormatting sqref="AQ144:AV168">
    <cfRule type="cellIs" dxfId="229" priority="225" stopIfTrue="1" operator="equal">
      <formula>0</formula>
    </cfRule>
    <cfRule type="cellIs" dxfId="228" priority="226" stopIfTrue="1" operator="equal">
      <formula>AQ144+#REF!</formula>
    </cfRule>
  </conditionalFormatting>
  <conditionalFormatting sqref="AM144:AM168">
    <cfRule type="cellIs" dxfId="227" priority="125" stopIfTrue="1" operator="equal">
      <formula>0</formula>
    </cfRule>
  </conditionalFormatting>
  <conditionalFormatting sqref="AO144:AO168">
    <cfRule type="cellIs" dxfId="226" priority="122" stopIfTrue="1" operator="equal">
      <formula>0</formula>
    </cfRule>
  </conditionalFormatting>
  <conditionalFormatting sqref="CE167">
    <cfRule type="expression" dxfId="225" priority="119" stopIfTrue="1">
      <formula>OR(programa=#REF!,programa=#REF!,programa=#REF!,programa=#REF!,programa=$A$4)</formula>
    </cfRule>
  </conditionalFormatting>
  <conditionalFormatting sqref="AS98">
    <cfRule type="expression" dxfId="224" priority="116" stopIfTrue="1">
      <formula>recursos&lt;&gt;"FGTS/SBPE"</formula>
    </cfRule>
  </conditionalFormatting>
  <conditionalFormatting sqref="AN98:AO98">
    <cfRule type="expression" dxfId="223" priority="115" stopIfTrue="1">
      <formula>recursos&lt;&gt;"FGTS/SBPE"</formula>
    </cfRule>
  </conditionalFormatting>
  <conditionalFormatting sqref="AN105:AO107">
    <cfRule type="expression" dxfId="222" priority="114" stopIfTrue="1">
      <formula>recursos&lt;&gt;"FGTS/SBPE"</formula>
    </cfRule>
  </conditionalFormatting>
  <conditionalFormatting sqref="AN120">
    <cfRule type="expression" dxfId="221" priority="113" stopIfTrue="1">
      <formula>recursos&lt;&gt;"FGTS/SBPE"</formula>
    </cfRule>
  </conditionalFormatting>
  <conditionalFormatting sqref="AO144:AP168">
    <cfRule type="cellIs" dxfId="220" priority="120" stopIfTrue="1" operator="greaterThan">
      <formula>100</formula>
    </cfRule>
    <cfRule type="cellIs" dxfId="219" priority="121" stopIfTrue="1" operator="equal">
      <formula>100</formula>
    </cfRule>
  </conditionalFormatting>
  <conditionalFormatting sqref="AP127:AW131 AI99:AL118 X99:AA118">
    <cfRule type="cellIs" dxfId="218" priority="37" stopIfTrue="1" operator="equal">
      <formula>0</formula>
    </cfRule>
  </conditionalFormatting>
  <conditionalFormatting sqref="AB99 AB100:AH117">
    <cfRule type="cellIs" dxfId="217" priority="104" stopIfTrue="1" operator="equal">
      <formula>0</formula>
    </cfRule>
  </conditionalFormatting>
  <conditionalFormatting sqref="AB118:AH118">
    <cfRule type="cellIs" dxfId="216" priority="108" stopIfTrue="1" operator="equal">
      <formula>0</formula>
    </cfRule>
  </conditionalFormatting>
  <conditionalFormatting sqref="S121:Y121 S119:U120">
    <cfRule type="expression" dxfId="215" priority="103" stopIfTrue="1">
      <formula>recursos&lt;&gt;"FGTS/SBPE"</formula>
    </cfRule>
  </conditionalFormatting>
  <conditionalFormatting sqref="X120:AA120">
    <cfRule type="cellIs" dxfId="214" priority="100" stopIfTrue="1" operator="equal">
      <formula>0</formula>
    </cfRule>
  </conditionalFormatting>
  <conditionalFormatting sqref="AB119:AH119">
    <cfRule type="cellIs" dxfId="213" priority="99" stopIfTrue="1" operator="equal">
      <formula>0</formula>
    </cfRule>
  </conditionalFormatting>
  <conditionalFormatting sqref="AB120:AH121">
    <cfRule type="cellIs" dxfId="212" priority="98" stopIfTrue="1" operator="equal">
      <formula>0</formula>
    </cfRule>
  </conditionalFormatting>
  <conditionalFormatting sqref="G138">
    <cfRule type="expression" dxfId="211" priority="96" stopIfTrue="1">
      <formula>recursos&lt;&gt;"FGTS/SBPE"</formula>
    </cfRule>
  </conditionalFormatting>
  <conditionalFormatting sqref="I128:AE137">
    <cfRule type="cellIs" dxfId="210" priority="95" stopIfTrue="1" operator="equal">
      <formula>0</formula>
    </cfRule>
  </conditionalFormatting>
  <conditionalFormatting sqref="AG134:AW138 G44:AW44 G47:AW47 G50:AW50 G58:AB58 AD58:AP58 AC81:AW81 AC83:AW83 AM85:AW85">
    <cfRule type="cellIs" dxfId="209" priority="92" stopIfTrue="1" operator="equal">
      <formula>0</formula>
    </cfRule>
  </conditionalFormatting>
  <conditionalFormatting sqref="G165">
    <cfRule type="cellIs" dxfId="208" priority="90" stopIfTrue="1" operator="equal">
      <formula>0</formula>
    </cfRule>
  </conditionalFormatting>
  <conditionalFormatting sqref="AC87 AC90">
    <cfRule type="cellIs" dxfId="207" priority="87" stopIfTrue="1" operator="equal">
      <formula>0</formula>
    </cfRule>
  </conditionalFormatting>
  <conditionalFormatting sqref="G83 V85 V83">
    <cfRule type="cellIs" dxfId="206" priority="86" stopIfTrue="1" operator="equal">
      <formula>0</formula>
    </cfRule>
  </conditionalFormatting>
  <conditionalFormatting sqref="AH64:AI64">
    <cfRule type="cellIs" dxfId="205" priority="83" stopIfTrue="1" operator="notEqual">
      <formula>0</formula>
    </cfRule>
    <cfRule type="cellIs" dxfId="204" priority="84" stopIfTrue="1" operator="notEqual">
      <formula>AH64&amp;F65</formula>
    </cfRule>
  </conditionalFormatting>
  <conditionalFormatting sqref="AF185:AW185">
    <cfRule type="cellIs" dxfId="203" priority="80" stopIfTrue="1" operator="equal">
      <formula>0</formula>
    </cfRule>
  </conditionalFormatting>
  <conditionalFormatting sqref="AF186:AK186">
    <cfRule type="cellIs" dxfId="202" priority="78" stopIfTrue="1" operator="equal">
      <formula>0</formula>
    </cfRule>
  </conditionalFormatting>
  <conditionalFormatting sqref="AQ191:AW191">
    <cfRule type="cellIs" dxfId="201" priority="76" stopIfTrue="1" operator="equal">
      <formula>"/"</formula>
    </cfRule>
  </conditionalFormatting>
  <conditionalFormatting sqref="H184:Z184">
    <cfRule type="cellIs" dxfId="200" priority="75" stopIfTrue="1" operator="equal">
      <formula>0</formula>
    </cfRule>
  </conditionalFormatting>
  <conditionalFormatting sqref="G54:AW54 G56:AW56">
    <cfRule type="cellIs" dxfId="199" priority="74" stopIfTrue="1" operator="equal">
      <formula>0</formula>
    </cfRule>
  </conditionalFormatting>
  <conditionalFormatting sqref="G142:AI163">
    <cfRule type="cellIs" dxfId="198" priority="72" stopIfTrue="1" operator="equal">
      <formula>"Descrever foto"</formula>
    </cfRule>
  </conditionalFormatting>
  <conditionalFormatting sqref="AN104:AO104">
    <cfRule type="expression" dxfId="197" priority="68" stopIfTrue="1">
      <formula>recursos&lt;&gt;"FGTS/SBPE"</formula>
    </cfRule>
  </conditionalFormatting>
  <conditionalFormatting sqref="AN108:AO108">
    <cfRule type="expression" dxfId="196" priority="67" stopIfTrue="1">
      <formula>recursos&lt;&gt;"FGTS/SBPE"</formula>
    </cfRule>
  </conditionalFormatting>
  <conditionalFormatting sqref="G87 O87 G89 V87 O89 AU79">
    <cfRule type="cellIs" dxfId="195" priority="59" stopIfTrue="1" operator="equal">
      <formula>0</formula>
    </cfRule>
  </conditionalFormatting>
  <conditionalFormatting sqref="V81">
    <cfRule type="cellIs" dxfId="194" priority="60" stopIfTrue="1" operator="equal">
      <formula>0</formula>
    </cfRule>
  </conditionalFormatting>
  <conditionalFormatting sqref="AF190:AW190">
    <cfRule type="cellIs" dxfId="193" priority="58" stopIfTrue="1" operator="equal">
      <formula>0</formula>
    </cfRule>
  </conditionalFormatting>
  <conditionalFormatting sqref="AF191:AK191">
    <cfRule type="cellIs" dxfId="192" priority="57" stopIfTrue="1" operator="equal">
      <formula>0</formula>
    </cfRule>
  </conditionalFormatting>
  <conditionalFormatting sqref="AF65:AN65">
    <cfRule type="cellIs" dxfId="191" priority="377" stopIfTrue="1" operator="notEqual">
      <formula>AF65&amp;F66</formula>
    </cfRule>
  </conditionalFormatting>
  <conditionalFormatting sqref="AF66:AN66">
    <cfRule type="cellIs" dxfId="190" priority="82" stopIfTrue="1" operator="notEqual">
      <formula>AF66&amp;F67</formula>
    </cfRule>
  </conditionalFormatting>
  <conditionalFormatting sqref="G85">
    <cfRule type="cellIs" dxfId="189" priority="55" stopIfTrue="1" operator="equal">
      <formula>0</formula>
    </cfRule>
  </conditionalFormatting>
  <conditionalFormatting sqref="G81">
    <cfRule type="cellIs" dxfId="188" priority="54" stopIfTrue="1" operator="equal">
      <formula>0</formula>
    </cfRule>
  </conditionalFormatting>
  <conditionalFormatting sqref="O91">
    <cfRule type="cellIs" dxfId="187" priority="51" stopIfTrue="1" operator="equal">
      <formula>0</formula>
    </cfRule>
  </conditionalFormatting>
  <conditionalFormatting sqref="G91">
    <cfRule type="cellIs" dxfId="186" priority="50" stopIfTrue="1" operator="equal">
      <formula>0</formula>
    </cfRule>
  </conditionalFormatting>
  <conditionalFormatting sqref="V89">
    <cfRule type="cellIs" dxfId="185" priority="49" stopIfTrue="1" operator="equal">
      <formula>0</formula>
    </cfRule>
  </conditionalFormatting>
  <conditionalFormatting sqref="V91">
    <cfRule type="cellIs" dxfId="184" priority="48" stopIfTrue="1" operator="equal">
      <formula>0</formula>
    </cfRule>
  </conditionalFormatting>
  <conditionalFormatting sqref="AQ58:AS58">
    <cfRule type="cellIs" dxfId="183" priority="46" stopIfTrue="1" operator="equal">
      <formula>0</formula>
    </cfRule>
  </conditionalFormatting>
  <conditionalFormatting sqref="AG128:AT128 AT129:AT131">
    <cfRule type="cellIs" dxfId="182" priority="109" stopIfTrue="1" operator="notEqual">
      <formula>$AG$128&amp;$C$128</formula>
    </cfRule>
  </conditionalFormatting>
  <conditionalFormatting sqref="AC85:AL85">
    <cfRule type="cellIs" dxfId="181" priority="33" stopIfTrue="1" operator="equal">
      <formula>0</formula>
    </cfRule>
  </conditionalFormatting>
  <conditionalFormatting sqref="G171:G172">
    <cfRule type="cellIs" dxfId="180" priority="31" stopIfTrue="1" operator="equal">
      <formula>0</formula>
    </cfRule>
  </conditionalFormatting>
  <conditionalFormatting sqref="AT65">
    <cfRule type="cellIs" dxfId="179" priority="27" stopIfTrue="1" operator="equal">
      <formula>0</formula>
    </cfRule>
  </conditionalFormatting>
  <conditionalFormatting sqref="BS68:CC78">
    <cfRule type="cellIs" dxfId="178" priority="26" stopIfTrue="1" operator="equal">
      <formula>BS68&amp;BC71</formula>
    </cfRule>
  </conditionalFormatting>
  <conditionalFormatting sqref="BS64:CC65">
    <cfRule type="cellIs" dxfId="177" priority="22" stopIfTrue="1" operator="equal">
      <formula>BS64&amp;BC71</formula>
    </cfRule>
  </conditionalFormatting>
  <conditionalFormatting sqref="BS66:CC67">
    <cfRule type="cellIs" dxfId="176" priority="576" stopIfTrue="1" operator="equal">
      <formula>BS66&amp;BC72</formula>
    </cfRule>
  </conditionalFormatting>
  <conditionalFormatting sqref="Q63">
    <cfRule type="cellIs" dxfId="175" priority="21" stopIfTrue="1" operator="equal">
      <formula>0</formula>
    </cfRule>
  </conditionalFormatting>
  <conditionalFormatting sqref="Q64:Q66">
    <cfRule type="cellIs" dxfId="174" priority="20" stopIfTrue="1" operator="equal">
      <formula>0</formula>
    </cfRule>
  </conditionalFormatting>
  <conditionalFormatting sqref="AL63">
    <cfRule type="cellIs" dxfId="173" priority="18" stopIfTrue="1" operator="equal">
      <formula>0</formula>
    </cfRule>
  </conditionalFormatting>
  <conditionalFormatting sqref="AR64">
    <cfRule type="cellIs" dxfId="172" priority="16" stopIfTrue="1" operator="equal">
      <formula>0</formula>
    </cfRule>
  </conditionalFormatting>
  <conditionalFormatting sqref="AN119">
    <cfRule type="cellIs" dxfId="171" priority="15" stopIfTrue="1" operator="equal">
      <formula>0</formula>
    </cfRule>
  </conditionalFormatting>
  <conditionalFormatting sqref="AD75:AW75 AH76">
    <cfRule type="cellIs" dxfId="170" priority="13" stopIfTrue="1" operator="equal">
      <formula>0</formula>
    </cfRule>
  </conditionalFormatting>
  <conditionalFormatting sqref="AS76:AW76">
    <cfRule type="cellIs" dxfId="169" priority="12" stopIfTrue="1" operator="equal">
      <formula>0</formula>
    </cfRule>
  </conditionalFormatting>
  <conditionalFormatting sqref="G76:AG76">
    <cfRule type="cellIs" dxfId="168" priority="11" stopIfTrue="1" operator="notEqual">
      <formula>$G$76&amp;$BC$74</formula>
    </cfRule>
  </conditionalFormatting>
  <conditionalFormatting sqref="G72:L72">
    <cfRule type="cellIs" dxfId="167" priority="10" stopIfTrue="1" operator="equal">
      <formula>0</formula>
    </cfRule>
  </conditionalFormatting>
  <conditionalFormatting sqref="N72">
    <cfRule type="cellIs" dxfId="166" priority="9" stopIfTrue="1" operator="equal">
      <formula>0</formula>
    </cfRule>
  </conditionalFormatting>
  <conditionalFormatting sqref="U72">
    <cfRule type="cellIs" dxfId="165" priority="8" stopIfTrue="1" operator="equal">
      <formula>0</formula>
    </cfRule>
  </conditionalFormatting>
  <conditionalFormatting sqref="AJ72">
    <cfRule type="cellIs" dxfId="164" priority="7" stopIfTrue="1" operator="equal">
      <formula>0</formula>
    </cfRule>
  </conditionalFormatting>
  <conditionalFormatting sqref="AR72">
    <cfRule type="cellIs" dxfId="163" priority="6" stopIfTrue="1" operator="equal">
      <formula>0</formula>
    </cfRule>
  </conditionalFormatting>
  <conditionalFormatting sqref="G74">
    <cfRule type="cellIs" dxfId="162" priority="5" stopIfTrue="1" operator="equal">
      <formula>0</formula>
    </cfRule>
  </conditionalFormatting>
  <conditionalFormatting sqref="N74:AA74">
    <cfRule type="cellIs" dxfId="161" priority="4" stopIfTrue="1" operator="equal">
      <formula>0</formula>
    </cfRule>
  </conditionalFormatting>
  <conditionalFormatting sqref="AB74">
    <cfRule type="cellIs" dxfId="160" priority="3" stopIfTrue="1" operator="equal">
      <formula>0</formula>
    </cfRule>
  </conditionalFormatting>
  <conditionalFormatting sqref="AC72">
    <cfRule type="cellIs" dxfId="159" priority="1" stopIfTrue="1" operator="equal">
      <formula>0</formula>
    </cfRule>
  </conditionalFormatting>
  <conditionalFormatting sqref="AC72">
    <cfRule type="cellIs" dxfId="158" priority="2" stopIfTrue="1" operator="notEqual">
      <formula>$AG$128&amp;$C$128</formula>
    </cfRule>
  </conditionalFormatting>
  <dataValidations count="30">
    <dataValidation type="list" allowBlank="1" showInputMessage="1" showErrorMessage="1" sqref="AI47:AJ47 AV56:AW56 AI50:AJ50" xr:uid="{00000000-0002-0000-0000-000000000000}">
      <formula1>"AC,AL,AP,AM,BA,CE,DF,ES,GO,MA,MT,MS,MG,PA,PB,PR,PE,PI,RR,RO,RJ,RN,RS,SC,SP,SE,TO"</formula1>
    </dataValidation>
    <dataValidation type="list" allowBlank="1" showInputMessage="1" showErrorMessage="1" sqref="G83 G85:U85" xr:uid="{00000000-0002-0000-0000-000001000000}">
      <formula1>$BC$2:$BC$7</formula1>
    </dataValidation>
    <dataValidation type="list" allowBlank="1" showInputMessage="1" showErrorMessage="1" sqref="X58" xr:uid="{00000000-0002-0000-0000-000002000000}">
      <formula1>"N,S"</formula1>
    </dataValidation>
    <dataValidation type="list" allowBlank="1" showInputMessage="1" showErrorMessage="1" sqref="G74" xr:uid="{00000000-0002-0000-0000-000003000000}">
      <formula1>"Residencial,Comercial"</formula1>
    </dataValidation>
    <dataValidation type="list" allowBlank="1" showInputMessage="1" showErrorMessage="1" sqref="G89:U89" xr:uid="{00000000-0002-0000-0000-000004000000}">
      <formula1>$BD$2:$BD$7</formula1>
    </dataValidation>
    <dataValidation type="list" allowBlank="1" showInputMessage="1" showErrorMessage="1" sqref="G81:U81" xr:uid="{00000000-0002-0000-0000-000005000000}">
      <formula1>$BB$2:$BB$8</formula1>
    </dataValidation>
    <dataValidation type="list" allowBlank="1" showInputMessage="1" showErrorMessage="1" sqref="V81:AB81" xr:uid="{00000000-0002-0000-0000-000006000000}">
      <formula1>$BA$2:$BA$6</formula1>
    </dataValidation>
    <dataValidation type="list" allowBlank="1" showInputMessage="1" showErrorMessage="1" sqref="V83:AB83" xr:uid="{00000000-0002-0000-0000-000007000000}">
      <formula1>$BI$2:$BI$4</formula1>
    </dataValidation>
    <dataValidation type="list" allowBlank="1" showInputMessage="1" showErrorMessage="1" sqref="V85:AB85" xr:uid="{00000000-0002-0000-0000-000008000000}">
      <formula1>$BH$2:$BH$7</formula1>
    </dataValidation>
    <dataValidation type="list" allowBlank="1" showInputMessage="1" showErrorMessage="1" sqref="V87:AB87" xr:uid="{00000000-0002-0000-0000-000009000000}">
      <formula1>$BF$2:$BF$8</formula1>
    </dataValidation>
    <dataValidation type="list" allowBlank="1" showInputMessage="1" showErrorMessage="1" sqref="G87:N87" xr:uid="{00000000-0002-0000-0000-00000A000000}">
      <formula1>$BE$2:$BE$16</formula1>
    </dataValidation>
    <dataValidation type="list" allowBlank="1" showInputMessage="1" showErrorMessage="1" sqref="O87:U87" xr:uid="{00000000-0002-0000-0000-00000B000000}">
      <formula1>$BG$2:$BG$11</formula1>
    </dataValidation>
    <dataValidation type="list" allowBlank="1" showInputMessage="1" showErrorMessage="1" sqref="O91:U91" xr:uid="{00000000-0002-0000-0000-00000C000000}">
      <formula1>$BK$2:$BK$5</formula1>
    </dataValidation>
    <dataValidation type="list" allowBlank="1" showInputMessage="1" showErrorMessage="1" sqref="V91:AB91" xr:uid="{00000000-0002-0000-0000-00000D000000}">
      <formula1>$BM$2:$BM$5</formula1>
    </dataValidation>
    <dataValidation type="list" allowBlank="1" showInputMessage="1" showErrorMessage="1" sqref="V89:AB89" xr:uid="{00000000-0002-0000-0000-00000E000000}">
      <formula1>$BJ$2:$BJ$4</formula1>
    </dataValidation>
    <dataValidation type="list" allowBlank="1" showInputMessage="1" showErrorMessage="1" sqref="G91:N91" xr:uid="{00000000-0002-0000-0000-00000F000000}">
      <formula1>$BL$2:$BL$4</formula1>
    </dataValidation>
    <dataValidation type="list" allowBlank="1" showInputMessage="1" showErrorMessage="1" sqref="N74:AA74" xr:uid="{00000000-0002-0000-0000-000010000000}">
      <formula1>$BB$78:$BB$89</formula1>
    </dataValidation>
    <dataValidation type="list" allowBlank="1" showInputMessage="1" showErrorMessage="1" sqref="AQ58:AW58" xr:uid="{00000000-0002-0000-0000-000011000000}">
      <formula1>"Aq.Terreno e Constr. FGTS, Constr.Terr.Próprio FGTS,Aq.Terreno e Constr. SBPE, Constr.Terr.Próprio SBPE"</formula1>
    </dataValidation>
    <dataValidation type="list" allowBlank="1" showInputMessage="1" showErrorMessage="1" sqref="AU79" xr:uid="{00000000-0002-0000-0000-000012000000}">
      <formula1>"Baixo,Normal,Alto"</formula1>
    </dataValidation>
    <dataValidation type="list" allowBlank="1" showInputMessage="1" showErrorMessage="1" sqref="AC81:AE81" xr:uid="{00000000-0002-0000-0000-000013000000}">
      <formula1>"1,2,3,4+"</formula1>
    </dataValidation>
    <dataValidation type="list" allowBlank="1" showInputMessage="1" showErrorMessage="1" sqref="AR81:AW81" xr:uid="{00000000-0002-0000-0000-000014000000}">
      <formula1>"Coberta(s),Descoberta(s)"</formula1>
    </dataValidation>
    <dataValidation type="list" allowBlank="1" showInputMessage="1" showErrorMessage="1" sqref="AC83:AH83" xr:uid="{00000000-0002-0000-0000-000015000000}">
      <formula1>$BN$2:$BN$5</formula1>
    </dataValidation>
    <dataValidation type="list" allowBlank="1" showInputMessage="1" showErrorMessage="1" sqref="AI83:AO83" xr:uid="{00000000-0002-0000-0000-000016000000}">
      <formula1>$BO$2:$BO$5</formula1>
    </dataValidation>
    <dataValidation type="list" allowBlank="1" showInputMessage="1" showErrorMessage="1" sqref="AP83:AW83" xr:uid="{00000000-0002-0000-0000-000017000000}">
      <formula1>$BQ$2:$BQ$4</formula1>
    </dataValidation>
    <dataValidation type="list" allowBlank="1" showInputMessage="1" showErrorMessage="1" sqref="AC85:AL85 AR64:AW64" xr:uid="{00000000-0002-0000-0000-000018000000}">
      <formula1>"Sim,Não"</formula1>
    </dataValidation>
    <dataValidation type="list" allowBlank="1" showInputMessage="1" showErrorMessage="1" sqref="AM85:AW85" xr:uid="{00000000-0002-0000-0000-000019000000}">
      <formula1>$BP$2:$BP$4</formula1>
    </dataValidation>
    <dataValidation type="list" allowBlank="1" showInputMessage="1" showErrorMessage="1" sqref="AT65 AS76:AW76" xr:uid="{00000000-0002-0000-0000-00001A000000}">
      <formula1>"sim,não"</formula1>
    </dataValidation>
    <dataValidation type="list" allowBlank="1" showInputMessage="1" showErrorMessage="1" sqref="Q63:V66 AL63:AQ63" xr:uid="{00000000-0002-0000-0000-00001B000000}">
      <formula1>"Sim,Falta"</formula1>
    </dataValidation>
    <dataValidation type="list" allowBlank="1" showInputMessage="1" showErrorMessage="1" sqref="AN119:AW119" xr:uid="{00000000-0002-0000-0000-00001C000000}">
      <formula1>"Construtora,Profissional Autônomo"</formula1>
    </dataValidation>
    <dataValidation type="list" allowBlank="1" showInputMessage="1" showErrorMessage="1" sqref="AF81:AQ81" xr:uid="{CCEBDD35-5E68-4E86-8473-6088E7B44987}">
      <formula1>"0,1,2,3,4+"</formula1>
    </dataValidation>
  </dataValidations>
  <printOptions horizontalCentered="1"/>
  <pageMargins left="0.78740157480314965" right="0.19685039370078741" top="0.78740157480314965" bottom="0.59055118110236227" header="0.39370078740157483" footer="0.39370078740157483"/>
  <pageSetup paperSize="9" scale="89" fitToHeight="0" orientation="portrait" horizontalDpi="1200" verticalDpi="1200" r:id="rId1"/>
  <headerFooter>
    <oddHeader>&amp;L&amp;6Esse arquivo é gratuito e de uso
exclusivo entre CAIXA, seus
representantes legais e clientes. &amp;R&amp;6Esse Documento só tem validade se estiver
assinado pelo Proponente e pelo Responsável
Técnico pela execução da obra devidamente identificados.</oddHeader>
    <oddFooter>&amp;LVigência: 11/08/2023&amp;C&amp;A 
&amp;8Construção em Terreno Próprio e Aquisição de Terreno e Construção&amp;R&amp;P/&amp;N</oddFooter>
  </headerFooter>
  <rowBreaks count="1" manualBreakCount="1">
    <brk id="122" min="5" max="50" man="1"/>
  </rowBreak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1:BB37"/>
  <sheetViews>
    <sheetView topLeftCell="O1" workbookViewId="0">
      <selection activeCell="Q11" sqref="Q11"/>
    </sheetView>
  </sheetViews>
  <sheetFormatPr defaultRowHeight="14.4" x14ac:dyDescent="0.3"/>
  <cols>
    <col min="1" max="1" width="19.5546875" style="73" customWidth="1"/>
    <col min="2" max="2" width="30.33203125" style="73" bestFit="1" customWidth="1"/>
    <col min="3" max="3" width="28.5546875" style="73" customWidth="1"/>
    <col min="4" max="4" width="18.6640625" style="73" bestFit="1" customWidth="1"/>
    <col min="5" max="5" width="25.33203125" style="73" customWidth="1"/>
    <col min="6" max="6" width="22.33203125" style="73" customWidth="1"/>
    <col min="7" max="7" width="20.5546875" style="73" customWidth="1"/>
    <col min="8" max="8" width="18.33203125" style="73" customWidth="1"/>
    <col min="9" max="11" width="23" style="73" bestFit="1" customWidth="1"/>
    <col min="12" max="12" width="23" style="73" customWidth="1"/>
    <col min="13" max="13" width="23" style="73" bestFit="1" customWidth="1"/>
    <col min="14" max="16" width="23" style="73" customWidth="1"/>
    <col min="17" max="20" width="20.6640625" customWidth="1"/>
  </cols>
  <sheetData>
    <row r="1" spans="1:23" s="69" customFormat="1" ht="28.8" x14ac:dyDescent="0.25">
      <c r="A1" s="66" t="s">
        <v>83</v>
      </c>
      <c r="B1" s="66" t="s">
        <v>85</v>
      </c>
      <c r="C1" s="67" t="s">
        <v>252</v>
      </c>
      <c r="D1" s="67" t="s">
        <v>254</v>
      </c>
      <c r="E1" s="68" t="s">
        <v>86</v>
      </c>
      <c r="F1" s="67" t="s">
        <v>228</v>
      </c>
      <c r="G1" s="67" t="s">
        <v>87</v>
      </c>
      <c r="H1" s="66" t="s">
        <v>253</v>
      </c>
      <c r="I1" s="67" t="s">
        <v>64</v>
      </c>
      <c r="J1" s="67" t="s">
        <v>310</v>
      </c>
      <c r="K1" s="67" t="s">
        <v>309</v>
      </c>
      <c r="L1" s="67" t="s">
        <v>311</v>
      </c>
      <c r="M1" s="67" t="s">
        <v>316</v>
      </c>
      <c r="N1" s="130" t="s">
        <v>343</v>
      </c>
      <c r="O1" s="130" t="s">
        <v>358</v>
      </c>
      <c r="P1" s="130" t="s">
        <v>346</v>
      </c>
      <c r="Q1" s="69" t="s">
        <v>349</v>
      </c>
      <c r="R1" s="66" t="s">
        <v>90</v>
      </c>
      <c r="S1" s="66" t="s">
        <v>91</v>
      </c>
      <c r="T1" s="67" t="s">
        <v>232</v>
      </c>
      <c r="W1" s="124" t="s">
        <v>330</v>
      </c>
    </row>
    <row r="2" spans="1:23" x14ac:dyDescent="0.25">
      <c r="A2" s="119" t="s">
        <v>92</v>
      </c>
      <c r="B2" s="120" t="s">
        <v>301</v>
      </c>
      <c r="C2" s="119" t="s">
        <v>93</v>
      </c>
      <c r="D2" s="119" t="s">
        <v>94</v>
      </c>
      <c r="E2" s="119" t="s">
        <v>95</v>
      </c>
      <c r="F2" s="119" t="s">
        <v>95</v>
      </c>
      <c r="G2" s="119" t="s">
        <v>95</v>
      </c>
      <c r="H2" s="119" t="s">
        <v>96</v>
      </c>
      <c r="I2" s="119" t="s">
        <v>246</v>
      </c>
      <c r="J2" s="119" t="s">
        <v>303</v>
      </c>
      <c r="K2" s="119" t="s">
        <v>308</v>
      </c>
      <c r="L2" s="119" t="s">
        <v>312</v>
      </c>
      <c r="M2" s="119" t="s">
        <v>313</v>
      </c>
      <c r="N2" s="131" t="s">
        <v>80</v>
      </c>
      <c r="O2" s="131" t="s">
        <v>358</v>
      </c>
      <c r="P2" s="131" t="s">
        <v>347</v>
      </c>
      <c r="Q2" s="136" t="s">
        <v>80</v>
      </c>
      <c r="R2" s="120" t="s">
        <v>324</v>
      </c>
      <c r="S2" s="119" t="s">
        <v>97</v>
      </c>
      <c r="T2" s="119" t="s">
        <v>247</v>
      </c>
    </row>
    <row r="3" spans="1:23" ht="43.2" x14ac:dyDescent="0.25">
      <c r="A3" s="120" t="s">
        <v>240</v>
      </c>
      <c r="B3" s="120" t="s">
        <v>302</v>
      </c>
      <c r="C3" s="120" t="s">
        <v>230</v>
      </c>
      <c r="D3" s="120" t="s">
        <v>98</v>
      </c>
      <c r="E3" s="120" t="s">
        <v>99</v>
      </c>
      <c r="F3" s="120" t="s">
        <v>99</v>
      </c>
      <c r="G3" s="120" t="s">
        <v>99</v>
      </c>
      <c r="H3" s="120" t="s">
        <v>30</v>
      </c>
      <c r="I3" s="120" t="s">
        <v>235</v>
      </c>
      <c r="J3" s="119" t="s">
        <v>304</v>
      </c>
      <c r="K3" s="119" t="s">
        <v>307</v>
      </c>
      <c r="L3" s="119" t="s">
        <v>321</v>
      </c>
      <c r="M3" s="119" t="s">
        <v>314</v>
      </c>
      <c r="N3" s="131" t="s">
        <v>344</v>
      </c>
      <c r="O3" s="131" t="s">
        <v>359</v>
      </c>
      <c r="P3" s="131" t="s">
        <v>364</v>
      </c>
      <c r="Q3" s="136" t="s">
        <v>350</v>
      </c>
      <c r="R3" s="119" t="s">
        <v>325</v>
      </c>
      <c r="S3" s="120" t="s">
        <v>100</v>
      </c>
      <c r="T3" s="120" t="s">
        <v>233</v>
      </c>
    </row>
    <row r="4" spans="1:23" ht="28.8" x14ac:dyDescent="0.25">
      <c r="A4" s="119" t="s">
        <v>114</v>
      </c>
      <c r="B4" s="119" t="s">
        <v>297</v>
      </c>
      <c r="C4" s="119" t="s">
        <v>299</v>
      </c>
      <c r="D4" s="120" t="s">
        <v>102</v>
      </c>
      <c r="E4" s="120" t="s">
        <v>103</v>
      </c>
      <c r="F4" s="120" t="s">
        <v>242</v>
      </c>
      <c r="G4" s="120" t="s">
        <v>242</v>
      </c>
      <c r="H4" s="120" t="s">
        <v>32</v>
      </c>
      <c r="I4" s="120" t="s">
        <v>248</v>
      </c>
      <c r="J4" s="119" t="s">
        <v>305</v>
      </c>
      <c r="K4" s="119" t="s">
        <v>306</v>
      </c>
      <c r="L4" s="119" t="s">
        <v>305</v>
      </c>
      <c r="M4" s="119" t="s">
        <v>315</v>
      </c>
      <c r="N4" s="131" t="s">
        <v>345</v>
      </c>
      <c r="O4" s="131" t="s">
        <v>360</v>
      </c>
      <c r="P4" s="131" t="s">
        <v>348</v>
      </c>
      <c r="Q4" s="136" t="s">
        <v>351</v>
      </c>
      <c r="R4" s="120" t="s">
        <v>326</v>
      </c>
      <c r="S4" s="120" t="s">
        <v>104</v>
      </c>
      <c r="T4" s="120" t="s">
        <v>249</v>
      </c>
    </row>
    <row r="5" spans="1:23" x14ac:dyDescent="0.25">
      <c r="A5" s="119" t="s">
        <v>335</v>
      </c>
      <c r="B5" s="119" t="s">
        <v>298</v>
      </c>
      <c r="C5" s="120" t="s">
        <v>250</v>
      </c>
      <c r="D5" s="119" t="s">
        <v>31</v>
      </c>
      <c r="E5" s="120" t="s">
        <v>106</v>
      </c>
      <c r="F5" s="120" t="s">
        <v>121</v>
      </c>
      <c r="G5" s="120" t="s">
        <v>119</v>
      </c>
      <c r="H5" s="119" t="s">
        <v>107</v>
      </c>
      <c r="I5" s="120"/>
      <c r="J5" s="120"/>
      <c r="K5" s="119" t="s">
        <v>305</v>
      </c>
      <c r="L5" s="122"/>
      <c r="M5" s="119" t="s">
        <v>305</v>
      </c>
      <c r="N5" s="131" t="s">
        <v>456</v>
      </c>
      <c r="O5" s="131" t="s">
        <v>361</v>
      </c>
      <c r="P5" s="131"/>
      <c r="Q5" s="121"/>
      <c r="R5" s="120" t="s">
        <v>327</v>
      </c>
      <c r="S5" s="120" t="s">
        <v>108</v>
      </c>
      <c r="T5" s="121"/>
    </row>
    <row r="6" spans="1:23" ht="28.8" x14ac:dyDescent="0.3">
      <c r="A6" s="120" t="s">
        <v>110</v>
      </c>
      <c r="B6" s="119" t="s">
        <v>241</v>
      </c>
      <c r="C6" s="119" t="s">
        <v>300</v>
      </c>
      <c r="D6" s="123" t="s">
        <v>32</v>
      </c>
      <c r="E6" s="123" t="s">
        <v>109</v>
      </c>
      <c r="F6" s="120" t="s">
        <v>113</v>
      </c>
      <c r="G6" s="120" t="s">
        <v>106</v>
      </c>
      <c r="H6" s="123" t="s">
        <v>111</v>
      </c>
      <c r="I6" s="123"/>
      <c r="J6" s="123"/>
      <c r="K6" s="123"/>
      <c r="M6" s="123"/>
      <c r="N6" s="132"/>
      <c r="O6" s="132"/>
      <c r="P6" s="132"/>
      <c r="Q6" s="121"/>
      <c r="R6" s="120" t="s">
        <v>328</v>
      </c>
      <c r="S6" s="121"/>
      <c r="T6" s="121"/>
    </row>
    <row r="7" spans="1:23" x14ac:dyDescent="0.25">
      <c r="A7" s="120"/>
      <c r="B7" s="120" t="s">
        <v>116</v>
      </c>
      <c r="C7" s="120" t="s">
        <v>110</v>
      </c>
      <c r="D7" s="119" t="s">
        <v>110</v>
      </c>
      <c r="E7" s="120" t="s">
        <v>112</v>
      </c>
      <c r="F7" s="120" t="s">
        <v>244</v>
      </c>
      <c r="G7" s="120" t="s">
        <v>121</v>
      </c>
      <c r="H7" s="119" t="s">
        <v>110</v>
      </c>
      <c r="I7" s="120"/>
      <c r="J7" s="120"/>
      <c r="K7" s="120"/>
      <c r="L7" s="120"/>
      <c r="M7" s="120"/>
      <c r="N7" s="133"/>
      <c r="O7" s="133"/>
      <c r="P7" s="133"/>
      <c r="Q7" s="121"/>
      <c r="R7" t="s">
        <v>491</v>
      </c>
      <c r="S7" s="121"/>
      <c r="T7" s="121"/>
    </row>
    <row r="8" spans="1:23" x14ac:dyDescent="0.3">
      <c r="A8" s="118"/>
      <c r="B8" s="118" t="s">
        <v>110</v>
      </c>
      <c r="C8" s="118"/>
      <c r="D8" s="118"/>
      <c r="E8" s="120" t="s">
        <v>113</v>
      </c>
      <c r="F8" s="120" t="s">
        <v>110</v>
      </c>
      <c r="G8" s="120" t="s">
        <v>113</v>
      </c>
      <c r="H8" s="118"/>
      <c r="I8" s="120"/>
      <c r="R8" t="s">
        <v>490</v>
      </c>
    </row>
    <row r="9" spans="1:23" x14ac:dyDescent="0.3">
      <c r="A9" s="118"/>
      <c r="B9" s="118"/>
      <c r="C9" s="118"/>
      <c r="D9" s="118"/>
      <c r="E9" s="120" t="s">
        <v>115</v>
      </c>
      <c r="F9" s="122"/>
      <c r="G9" s="120" t="s">
        <v>243</v>
      </c>
      <c r="H9" s="118"/>
      <c r="I9" s="120"/>
      <c r="J9" s="118"/>
      <c r="K9" s="118"/>
      <c r="L9" s="118"/>
      <c r="M9" s="118"/>
      <c r="N9" s="134"/>
      <c r="O9" s="134"/>
      <c r="P9" s="134"/>
      <c r="R9" t="s">
        <v>492</v>
      </c>
    </row>
    <row r="10" spans="1:23" x14ac:dyDescent="0.3">
      <c r="A10" s="118"/>
      <c r="B10" s="118"/>
      <c r="C10" s="118"/>
      <c r="D10" s="118"/>
      <c r="E10" s="120" t="s">
        <v>101</v>
      </c>
      <c r="F10" s="122"/>
      <c r="G10" s="120" t="s">
        <v>244</v>
      </c>
      <c r="H10" s="118"/>
      <c r="I10" s="120"/>
      <c r="J10" s="118"/>
      <c r="K10" s="118"/>
      <c r="L10" s="118"/>
      <c r="M10" s="118"/>
      <c r="N10" s="134"/>
      <c r="O10" s="134"/>
      <c r="P10" s="134"/>
      <c r="R10" t="s">
        <v>493</v>
      </c>
    </row>
    <row r="11" spans="1:23" x14ac:dyDescent="0.3">
      <c r="A11" s="118"/>
      <c r="B11" s="118"/>
      <c r="C11" s="118"/>
      <c r="D11" s="118"/>
      <c r="E11" s="120" t="s">
        <v>105</v>
      </c>
      <c r="F11" s="122"/>
      <c r="G11" s="120" t="s">
        <v>110</v>
      </c>
      <c r="H11" s="118"/>
      <c r="I11" s="118"/>
      <c r="J11" s="118"/>
      <c r="K11" s="118"/>
      <c r="L11" s="118"/>
      <c r="M11" s="118"/>
      <c r="N11" s="134"/>
      <c r="O11" s="134"/>
      <c r="P11" s="134"/>
      <c r="R11" t="s">
        <v>494</v>
      </c>
    </row>
    <row r="12" spans="1:23" x14ac:dyDescent="0.3">
      <c r="A12" s="118"/>
      <c r="B12" s="118"/>
      <c r="C12" s="118"/>
      <c r="D12" s="118"/>
      <c r="E12" s="120" t="s">
        <v>117</v>
      </c>
      <c r="F12" s="122"/>
      <c r="G12" s="120"/>
      <c r="H12" s="118"/>
      <c r="I12" s="118"/>
      <c r="J12" s="118"/>
      <c r="K12" s="118"/>
      <c r="L12" s="118"/>
      <c r="M12" s="118"/>
      <c r="N12" s="134"/>
      <c r="O12" s="134"/>
      <c r="P12" s="134"/>
      <c r="R12" t="s">
        <v>329</v>
      </c>
    </row>
    <row r="13" spans="1:23" x14ac:dyDescent="0.3">
      <c r="A13" s="118"/>
      <c r="B13" s="118"/>
      <c r="C13" s="118"/>
      <c r="D13" s="118"/>
      <c r="E13" s="120" t="s">
        <v>118</v>
      </c>
      <c r="F13" s="122"/>
      <c r="G13" s="120"/>
      <c r="H13" s="118"/>
      <c r="I13" s="118"/>
      <c r="J13" s="118"/>
      <c r="K13" s="118"/>
      <c r="L13" s="118"/>
      <c r="M13" s="118"/>
      <c r="N13" s="134"/>
      <c r="O13" s="134"/>
      <c r="P13" s="134"/>
      <c r="R13" s="123" t="s">
        <v>110</v>
      </c>
    </row>
    <row r="14" spans="1:23" x14ac:dyDescent="0.3">
      <c r="A14" s="118"/>
      <c r="B14" s="118"/>
      <c r="C14" s="118"/>
      <c r="D14" s="118"/>
      <c r="E14" s="120" t="s">
        <v>120</v>
      </c>
      <c r="F14" s="122"/>
      <c r="G14" s="120"/>
      <c r="H14" s="118"/>
      <c r="I14" s="118"/>
      <c r="J14" s="118"/>
      <c r="K14" s="118"/>
      <c r="L14" s="118"/>
      <c r="M14" s="118"/>
      <c r="N14" s="134"/>
      <c r="O14" s="134"/>
      <c r="P14" s="134"/>
    </row>
    <row r="15" spans="1:23" x14ac:dyDescent="0.3">
      <c r="A15" s="118"/>
      <c r="B15" s="118"/>
      <c r="C15" s="118"/>
      <c r="D15" s="118"/>
      <c r="E15" s="120" t="s">
        <v>121</v>
      </c>
      <c r="F15" s="122"/>
      <c r="G15" s="120"/>
      <c r="H15" s="118"/>
      <c r="I15" s="118"/>
      <c r="J15" s="118"/>
      <c r="K15" s="118"/>
      <c r="L15" s="118"/>
      <c r="M15" s="118"/>
      <c r="N15" s="134"/>
      <c r="O15" s="134"/>
      <c r="P15" s="134"/>
    </row>
    <row r="16" spans="1:23" x14ac:dyDescent="0.3">
      <c r="A16" s="118"/>
      <c r="B16" s="118"/>
      <c r="C16" s="118"/>
      <c r="D16" s="118"/>
      <c r="E16" s="120" t="s">
        <v>110</v>
      </c>
      <c r="F16" s="122"/>
      <c r="G16" s="120"/>
      <c r="H16" s="118"/>
      <c r="I16" s="118"/>
      <c r="J16" s="118"/>
      <c r="K16" s="118"/>
      <c r="L16" s="118"/>
      <c r="M16" s="118"/>
      <c r="N16" s="134"/>
      <c r="O16" s="134"/>
      <c r="P16" s="134"/>
    </row>
    <row r="17" spans="1:54" x14ac:dyDescent="0.3">
      <c r="A17" s="71"/>
      <c r="B17" s="71"/>
      <c r="C17" s="71"/>
      <c r="D17" s="71"/>
      <c r="F17" s="71"/>
      <c r="G17" s="71"/>
      <c r="H17" s="71"/>
      <c r="I17" s="71"/>
      <c r="J17" s="71"/>
      <c r="K17" s="71"/>
      <c r="L17" s="71"/>
      <c r="M17" s="71"/>
      <c r="N17" s="135"/>
      <c r="O17" s="135"/>
      <c r="P17" s="135"/>
    </row>
    <row r="18" spans="1:54" x14ac:dyDescent="0.3">
      <c r="A18" s="71"/>
      <c r="B18" s="71"/>
      <c r="C18" s="71"/>
      <c r="D18" s="71"/>
      <c r="F18" s="71"/>
      <c r="G18" s="71"/>
      <c r="H18" s="71"/>
      <c r="I18" s="71"/>
      <c r="J18" s="71"/>
      <c r="K18" s="71"/>
      <c r="L18" s="71"/>
      <c r="M18" s="71"/>
      <c r="N18" s="135"/>
      <c r="O18" s="135"/>
      <c r="P18" s="135"/>
    </row>
    <row r="19" spans="1:54" x14ac:dyDescent="0.3">
      <c r="A19" s="71"/>
      <c r="B19" s="71"/>
      <c r="C19" s="71"/>
      <c r="D19" s="71"/>
      <c r="F19" s="71"/>
      <c r="G19" s="71"/>
      <c r="H19" s="71"/>
      <c r="I19" s="71"/>
      <c r="J19" s="71"/>
      <c r="K19" s="71"/>
      <c r="L19" s="71"/>
      <c r="M19" s="71"/>
      <c r="N19" s="135"/>
      <c r="O19" s="135"/>
      <c r="P19" s="135"/>
    </row>
    <row r="20" spans="1:54" x14ac:dyDescent="0.3">
      <c r="A20" s="71"/>
      <c r="B20" s="71"/>
      <c r="C20" s="71"/>
      <c r="D20" s="71"/>
      <c r="F20" s="71"/>
      <c r="G20" s="71"/>
      <c r="H20" s="71"/>
      <c r="I20" s="71"/>
      <c r="J20" s="71"/>
      <c r="K20" s="71"/>
      <c r="L20" s="71"/>
      <c r="M20" s="71"/>
      <c r="N20" s="135"/>
      <c r="O20" s="135"/>
      <c r="P20" s="135"/>
    </row>
    <row r="22" spans="1:54" x14ac:dyDescent="0.3">
      <c r="A22" s="74" t="s">
        <v>122</v>
      </c>
    </row>
    <row r="23" spans="1:54" x14ac:dyDescent="0.3">
      <c r="A23" s="71" t="s">
        <v>123</v>
      </c>
      <c r="B23" s="71"/>
      <c r="C23" s="71"/>
      <c r="I23" s="67"/>
      <c r="J23" s="67"/>
      <c r="K23" s="67"/>
      <c r="L23" s="67"/>
      <c r="M23" s="67"/>
      <c r="N23" s="67"/>
      <c r="O23" s="67"/>
      <c r="P23" s="67"/>
      <c r="Q23" s="67"/>
      <c r="T23" s="67"/>
      <c r="W23" s="66"/>
      <c r="X23" s="66"/>
      <c r="Y23" s="67"/>
      <c r="Z23" s="67"/>
      <c r="AA23" s="68"/>
      <c r="AB23" s="66"/>
    </row>
    <row r="24" spans="1:54" x14ac:dyDescent="0.3">
      <c r="A24" s="71" t="s">
        <v>124</v>
      </c>
      <c r="B24" s="71"/>
      <c r="C24" s="71"/>
      <c r="I24" s="70"/>
      <c r="J24" s="70"/>
      <c r="K24" s="70"/>
      <c r="L24" s="70"/>
      <c r="M24" s="70"/>
      <c r="N24" s="70"/>
      <c r="O24" s="70"/>
      <c r="P24" s="70"/>
      <c r="Q24" s="70"/>
      <c r="T24" s="70"/>
      <c r="V24" s="5"/>
      <c r="W24" s="70"/>
      <c r="X24" s="70"/>
      <c r="Y24" s="70"/>
      <c r="Z24" s="70"/>
      <c r="AA24" s="70"/>
      <c r="AB24" s="70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</row>
    <row r="25" spans="1:54" x14ac:dyDescent="0.3">
      <c r="I25" s="70"/>
      <c r="J25" s="70"/>
      <c r="K25" s="70"/>
      <c r="L25" s="70"/>
      <c r="M25" s="70"/>
      <c r="N25" s="70"/>
      <c r="O25" s="70"/>
      <c r="P25" s="70"/>
      <c r="Q25" s="93"/>
      <c r="T25" s="70"/>
      <c r="V25" s="5"/>
      <c r="W25" s="93"/>
      <c r="X25" s="70"/>
      <c r="Y25" s="71"/>
      <c r="Z25" s="70"/>
      <c r="AA25" s="71"/>
      <c r="AB25" s="70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</row>
    <row r="26" spans="1:54" x14ac:dyDescent="0.3">
      <c r="A26" s="74" t="s">
        <v>122</v>
      </c>
      <c r="C26" s="5"/>
      <c r="D26" s="5"/>
      <c r="I26" s="71"/>
      <c r="J26" s="71"/>
      <c r="K26" s="71"/>
      <c r="L26" s="71"/>
      <c r="M26" s="71"/>
      <c r="N26" s="71"/>
      <c r="O26" s="71"/>
      <c r="P26" s="71"/>
      <c r="Q26" s="94"/>
      <c r="R26" s="71"/>
      <c r="T26" s="71"/>
      <c r="V26" s="5"/>
      <c r="W26" s="93"/>
      <c r="X26" s="71"/>
      <c r="Y26" s="94"/>
      <c r="Z26" s="71"/>
      <c r="AA26" s="71"/>
      <c r="AB26" s="71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</row>
    <row r="27" spans="1:54" x14ac:dyDescent="0.3">
      <c r="A27" s="75" t="s">
        <v>125</v>
      </c>
      <c r="B27" s="76"/>
      <c r="C27" s="5"/>
      <c r="D27" s="5"/>
      <c r="I27" s="93"/>
      <c r="J27" s="93"/>
      <c r="K27" s="93"/>
      <c r="L27" s="93"/>
      <c r="M27" s="93"/>
      <c r="N27" s="93"/>
      <c r="O27" s="93"/>
      <c r="P27" s="93"/>
      <c r="Q27" s="94"/>
      <c r="R27" s="94"/>
      <c r="T27" s="94"/>
      <c r="V27" s="5"/>
      <c r="W27" s="93"/>
      <c r="X27" s="71"/>
      <c r="Y27" s="70"/>
      <c r="Z27" s="94"/>
      <c r="AA27" s="71"/>
      <c r="AB27" s="71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</row>
    <row r="28" spans="1:54" x14ac:dyDescent="0.3">
      <c r="A28" s="75" t="s">
        <v>126</v>
      </c>
      <c r="B28" s="76"/>
      <c r="C28" s="5"/>
      <c r="D28" s="5"/>
      <c r="E28" s="71" t="s">
        <v>250</v>
      </c>
      <c r="F28" s="93" t="s">
        <v>31</v>
      </c>
      <c r="R28" s="94"/>
      <c r="T28" s="94"/>
      <c r="U28" s="94"/>
      <c r="V28" s="5"/>
      <c r="W28" s="93"/>
      <c r="X28" s="93"/>
      <c r="Y28" s="5"/>
      <c r="Z28" s="94"/>
      <c r="AA28" s="71"/>
      <c r="AB28" s="93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</row>
    <row r="29" spans="1:54" ht="28.8" x14ac:dyDescent="0.3">
      <c r="C29" s="5"/>
      <c r="D29" s="5"/>
      <c r="E29" s="93" t="s">
        <v>251</v>
      </c>
      <c r="F29" s="95" t="s">
        <v>32</v>
      </c>
      <c r="R29" s="94"/>
      <c r="T29" s="94"/>
      <c r="U29" s="94"/>
      <c r="V29" s="5"/>
      <c r="W29" s="93"/>
      <c r="X29" s="5"/>
      <c r="Y29" s="5"/>
      <c r="Z29" s="94"/>
      <c r="AA29" s="94"/>
      <c r="AB29" s="72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</row>
    <row r="30" spans="1:54" x14ac:dyDescent="0.3">
      <c r="C30" s="5"/>
      <c r="D30" s="5"/>
      <c r="E30" s="71" t="s">
        <v>110</v>
      </c>
      <c r="F30" s="93" t="s">
        <v>110</v>
      </c>
      <c r="I30" s="71"/>
      <c r="J30" s="71"/>
      <c r="K30" s="71"/>
      <c r="L30" s="71"/>
      <c r="M30" s="71"/>
      <c r="N30" s="135"/>
      <c r="O30" s="135"/>
      <c r="P30" s="135"/>
      <c r="R30" s="94"/>
      <c r="T30" s="94"/>
      <c r="U30" s="94"/>
      <c r="V30" s="5"/>
      <c r="W30" s="5"/>
      <c r="X30" s="5"/>
      <c r="Y30" s="5"/>
      <c r="Z30" s="94"/>
      <c r="AA30" s="93"/>
      <c r="AB30" s="93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</row>
    <row r="31" spans="1:54" x14ac:dyDescent="0.3">
      <c r="C31" s="5"/>
      <c r="D31" s="5"/>
      <c r="E31" s="71"/>
      <c r="F31" s="71"/>
      <c r="I31" s="71"/>
      <c r="J31" s="71"/>
      <c r="K31" s="71"/>
      <c r="L31" s="71"/>
      <c r="M31" s="71"/>
      <c r="N31" s="71"/>
      <c r="O31" s="71"/>
      <c r="P31" s="71"/>
      <c r="Q31" s="71"/>
      <c r="R31" s="94"/>
      <c r="T31" s="94"/>
      <c r="U31" s="94"/>
      <c r="V31" s="5"/>
      <c r="W31" s="5"/>
      <c r="X31" s="5"/>
      <c r="Y31" s="5"/>
      <c r="Z31" s="94"/>
      <c r="AA31" s="71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</row>
    <row r="32" spans="1:54" x14ac:dyDescent="0.3">
      <c r="A32" s="74" t="s">
        <v>127</v>
      </c>
      <c r="C32" s="5"/>
      <c r="D32" s="5"/>
      <c r="E32" s="71"/>
      <c r="F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94"/>
      <c r="T32" s="94"/>
      <c r="U32" s="94"/>
      <c r="V32" s="5"/>
      <c r="W32" s="5"/>
      <c r="X32" s="5"/>
      <c r="Y32" s="5"/>
      <c r="Z32" s="94"/>
      <c r="AA32" s="71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</row>
    <row r="33" spans="1:54" x14ac:dyDescent="0.3">
      <c r="A33" s="75" t="s">
        <v>128</v>
      </c>
      <c r="C33" s="5"/>
      <c r="D33" s="5"/>
      <c r="E33" s="71"/>
      <c r="F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94"/>
      <c r="T33" s="94"/>
      <c r="U33" s="94"/>
      <c r="V33" s="5"/>
      <c r="W33" s="5"/>
      <c r="X33" s="5"/>
      <c r="Y33" s="5"/>
      <c r="Z33" s="94"/>
      <c r="AA33" s="71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</row>
    <row r="34" spans="1:54" x14ac:dyDescent="0.3">
      <c r="A34" s="75" t="s">
        <v>129</v>
      </c>
      <c r="C34" s="5"/>
      <c r="D34" s="5"/>
      <c r="E34" s="71"/>
      <c r="F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94"/>
      <c r="T34" s="94"/>
      <c r="U34" s="94"/>
      <c r="V34" s="5"/>
      <c r="W34" s="5"/>
      <c r="X34" s="5"/>
      <c r="Y34" s="5"/>
      <c r="Z34" s="94"/>
      <c r="AA34" s="71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</row>
    <row r="35" spans="1:54" x14ac:dyDescent="0.3"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</row>
    <row r="36" spans="1:54" x14ac:dyDescent="0.3"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</row>
    <row r="37" spans="1:54" x14ac:dyDescent="0.3"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</row>
  </sheetData>
  <sheetProtection selectLockedCells="1"/>
  <pageMargins left="0.51181102362204722" right="0.51181102362204722" top="0.78740157480314965" bottom="0.78740157480314965" header="0.31496062992125984" footer="0.31496062992125984"/>
  <pageSetup paperSize="9" orientation="portrait" r:id="rId1"/>
  <headerFooter>
    <oddHeader>&amp;L&amp;6Esse arquivo é gratuito e de uso
exclusivo entre CAIXA, seus
representantes legais e clientes. &amp;R&amp;6Esse Documento só tem validade se estiver
assinado pelo Proponente e pelo Responsável
Técnico pela execução da obra devidamente identificados.</odd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1">
    <pageSetUpPr fitToPage="1"/>
  </sheetPr>
  <dimension ref="A1:HS244"/>
  <sheetViews>
    <sheetView showGridLines="0" view="pageBreakPreview" topLeftCell="F36" zoomScaleNormal="100" zoomScaleSheetLayoutView="100" workbookViewId="0">
      <selection activeCell="V92" sqref="V92:X92"/>
    </sheetView>
  </sheetViews>
  <sheetFormatPr defaultColWidth="3.6640625" defaultRowHeight="13.2" x14ac:dyDescent="0.25"/>
  <cols>
    <col min="1" max="2" width="6.6640625" style="8" hidden="1" customWidth="1"/>
    <col min="3" max="4" width="6.6640625" style="7" hidden="1" customWidth="1"/>
    <col min="5" max="5" width="6.6640625" style="9" hidden="1" customWidth="1"/>
    <col min="6" max="6" width="0.88671875" style="12" customWidth="1"/>
    <col min="7" max="49" width="2.33203125" style="12" customWidth="1"/>
    <col min="50" max="50" width="0.88671875" style="12" customWidth="1"/>
    <col min="51" max="51" width="4.6640625" style="12" customWidth="1"/>
    <col min="52" max="52" width="4.6640625" style="11" customWidth="1"/>
    <col min="53" max="53" width="4.6640625" customWidth="1"/>
    <col min="54" max="54" width="8.6640625" customWidth="1"/>
    <col min="55" max="55" width="13.6640625" customWidth="1"/>
    <col min="56" max="56" width="14.109375" customWidth="1"/>
    <col min="57" max="57" width="8.6640625" customWidth="1"/>
    <col min="58" max="58" width="11.6640625" customWidth="1"/>
    <col min="59" max="59" width="2.6640625" hidden="1" customWidth="1"/>
    <col min="60" max="60" width="20.6640625" hidden="1" customWidth="1"/>
    <col min="61" max="61" width="10.6640625" hidden="1" customWidth="1"/>
    <col min="62" max="78" width="3.6640625" style="12" customWidth="1"/>
    <col min="79" max="101" width="3.6640625" style="12"/>
    <col min="102" max="102" width="3" style="12" customWidth="1"/>
    <col min="103" max="16384" width="3.6640625" style="12"/>
  </cols>
  <sheetData>
    <row r="1" spans="1:80" ht="5.0999999999999996" customHeight="1" x14ac:dyDescent="0.25">
      <c r="F1" s="10" t="s">
        <v>25</v>
      </c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X1" s="10" t="s">
        <v>38</v>
      </c>
    </row>
    <row r="2" spans="1:80" s="16" customFormat="1" ht="13.8" x14ac:dyDescent="0.25">
      <c r="A2" s="13" t="s">
        <v>3</v>
      </c>
      <c r="B2" s="14" t="s">
        <v>4</v>
      </c>
      <c r="C2" s="13" t="s">
        <v>5</v>
      </c>
      <c r="D2" s="13" t="s">
        <v>6</v>
      </c>
      <c r="E2" s="13" t="s">
        <v>7</v>
      </c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2"/>
      <c r="AI2" s="3"/>
    </row>
    <row r="3" spans="1:80" s="11" customFormat="1" ht="16.2" x14ac:dyDescent="0.25">
      <c r="A3" s="17"/>
      <c r="B3" s="17"/>
      <c r="C3" s="13"/>
      <c r="D3" s="13"/>
      <c r="E3" s="18"/>
      <c r="F3" s="19"/>
      <c r="G3" s="19"/>
      <c r="H3" s="19"/>
      <c r="I3" s="4"/>
      <c r="J3" s="4"/>
      <c r="K3" s="4"/>
      <c r="L3" s="4"/>
      <c r="M3" s="4"/>
      <c r="N3" s="4"/>
      <c r="O3" s="4"/>
      <c r="P3" s="4"/>
      <c r="Q3" s="4"/>
      <c r="R3" s="19"/>
      <c r="S3" s="19"/>
      <c r="T3" s="600" t="s">
        <v>42</v>
      </c>
      <c r="U3" s="600"/>
      <c r="V3" s="600"/>
      <c r="W3" s="600"/>
      <c r="X3" s="600"/>
      <c r="Y3" s="600"/>
      <c r="Z3" s="600"/>
      <c r="AA3" s="600"/>
      <c r="AB3" s="600"/>
      <c r="AC3" s="600"/>
      <c r="AD3" s="600"/>
      <c r="AE3" s="600"/>
      <c r="AF3" s="600"/>
      <c r="AG3" s="600"/>
      <c r="AH3" s="600"/>
      <c r="AI3" s="600"/>
      <c r="AJ3" s="600"/>
      <c r="AK3" s="600"/>
      <c r="AL3" s="600"/>
      <c r="AM3" s="600"/>
      <c r="AN3" s="600"/>
      <c r="AO3" s="600"/>
      <c r="AP3" s="600"/>
      <c r="AQ3" s="600"/>
      <c r="AR3" s="600"/>
      <c r="AS3" s="600"/>
      <c r="AT3" s="600"/>
      <c r="AU3" s="600"/>
      <c r="AV3" s="19"/>
      <c r="AW3" s="19"/>
      <c r="AX3" s="19"/>
    </row>
    <row r="4" spans="1:80" s="11" customFormat="1" ht="14.4" x14ac:dyDescent="0.25">
      <c r="A4" s="17">
        <v>0</v>
      </c>
      <c r="B4" s="17"/>
      <c r="C4" s="13"/>
      <c r="D4" s="13"/>
      <c r="E4" s="18"/>
      <c r="F4" s="20"/>
      <c r="G4" s="20"/>
      <c r="H4" s="20"/>
      <c r="I4" s="21"/>
      <c r="J4" s="21"/>
      <c r="K4" s="21"/>
      <c r="L4" s="21"/>
      <c r="M4" s="21"/>
      <c r="N4" s="21"/>
      <c r="O4" s="21"/>
      <c r="P4" s="21"/>
      <c r="Q4" s="21"/>
      <c r="R4" s="20"/>
      <c r="S4" s="20"/>
      <c r="T4" s="601" t="s">
        <v>0</v>
      </c>
      <c r="U4" s="601"/>
      <c r="V4" s="601"/>
      <c r="W4" s="601"/>
      <c r="X4" s="601"/>
      <c r="Y4" s="601"/>
      <c r="Z4" s="601"/>
      <c r="AA4" s="601"/>
      <c r="AB4" s="601"/>
      <c r="AC4" s="601"/>
      <c r="AD4" s="601"/>
      <c r="AE4" s="601"/>
      <c r="AF4" s="601"/>
      <c r="AG4" s="601"/>
      <c r="AH4" s="601"/>
      <c r="AI4" s="601"/>
      <c r="AJ4" s="601"/>
      <c r="AK4" s="601"/>
      <c r="AL4" s="601"/>
      <c r="AM4" s="601"/>
      <c r="AN4" s="601"/>
      <c r="AO4" s="601"/>
      <c r="AP4" s="601"/>
      <c r="AQ4" s="601"/>
      <c r="AR4" s="601"/>
      <c r="AS4" s="601"/>
      <c r="AT4" s="601"/>
      <c r="AU4" s="601"/>
      <c r="AV4" s="20"/>
      <c r="AW4" s="20"/>
      <c r="AX4" s="20"/>
    </row>
    <row r="5" spans="1:80" s="11" customFormat="1" x14ac:dyDescent="0.25">
      <c r="A5" s="17" t="s">
        <v>412</v>
      </c>
      <c r="B5" s="17"/>
      <c r="C5" s="13"/>
      <c r="D5" s="13"/>
      <c r="E5" s="18"/>
      <c r="F5" s="22"/>
      <c r="G5" s="22"/>
      <c r="H5" s="22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02" t="s">
        <v>43</v>
      </c>
      <c r="U5" s="602"/>
      <c r="V5" s="602"/>
      <c r="W5" s="602"/>
      <c r="X5" s="602"/>
      <c r="Y5" s="602"/>
      <c r="Z5" s="602"/>
      <c r="AA5" s="602"/>
      <c r="AB5" s="602"/>
      <c r="AC5" s="602"/>
      <c r="AD5" s="602"/>
      <c r="AE5" s="602"/>
      <c r="AF5" s="602"/>
      <c r="AG5" s="602"/>
      <c r="AH5" s="602"/>
      <c r="AI5" s="602"/>
      <c r="AJ5" s="602"/>
      <c r="AK5" s="602"/>
      <c r="AL5" s="602"/>
      <c r="AM5" s="602"/>
      <c r="AN5" s="602"/>
      <c r="AO5" s="602"/>
      <c r="AP5" s="602"/>
      <c r="AQ5" s="602"/>
      <c r="AR5" s="602"/>
      <c r="AS5" s="602"/>
      <c r="AT5" s="602"/>
      <c r="AU5" s="602"/>
    </row>
    <row r="6" spans="1:80" s="11" customFormat="1" x14ac:dyDescent="0.25">
      <c r="A6" s="17"/>
      <c r="B6" s="17"/>
      <c r="C6" s="13"/>
      <c r="D6" s="13"/>
      <c r="E6" s="18"/>
      <c r="F6"/>
      <c r="G6" s="23" t="s">
        <v>68</v>
      </c>
      <c r="H6"/>
      <c r="I6"/>
      <c r="J6" s="24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</row>
    <row r="7" spans="1:80" s="11" customFormat="1" ht="3.9" customHeight="1" x14ac:dyDescent="0.25">
      <c r="A7" s="17"/>
      <c r="B7" s="17"/>
      <c r="C7" s="13"/>
      <c r="D7" s="13"/>
      <c r="E7" s="18"/>
      <c r="F7"/>
      <c r="G7" s="25"/>
      <c r="H7" s="25"/>
      <c r="I7" s="26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</row>
    <row r="8" spans="1:80" s="11" customFormat="1" x14ac:dyDescent="0.25">
      <c r="A8" s="17"/>
      <c r="B8" s="17"/>
      <c r="C8" s="13"/>
      <c r="D8" s="13"/>
      <c r="E8" s="18"/>
      <c r="F8"/>
      <c r="G8" s="22" t="s">
        <v>37</v>
      </c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</row>
    <row r="9" spans="1:80" s="11" customFormat="1" ht="3.9" customHeight="1" x14ac:dyDescent="0.25">
      <c r="A9" s="17"/>
      <c r="B9" s="17"/>
      <c r="C9" s="13"/>
      <c r="D9" s="13"/>
      <c r="E9" s="18"/>
      <c r="F9"/>
      <c r="G9" s="25"/>
      <c r="H9" s="25"/>
      <c r="I9" s="26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</row>
    <row r="10" spans="1:80" s="11" customFormat="1" ht="12.75" customHeight="1" x14ac:dyDescent="0.25">
      <c r="A10" s="17"/>
      <c r="B10" s="17"/>
      <c r="C10" s="13"/>
      <c r="D10" s="13"/>
      <c r="E10" s="18"/>
      <c r="F10"/>
      <c r="G10" s="754"/>
      <c r="H10" s="755"/>
      <c r="I10" s="755"/>
      <c r="J10"/>
      <c r="K10" s="681"/>
      <c r="L10" s="682"/>
      <c r="M10" s="683"/>
      <c r="N10"/>
      <c r="O10" s="560" t="s">
        <v>50</v>
      </c>
      <c r="P10" s="560"/>
      <c r="Q10" s="560"/>
      <c r="R10" s="560"/>
      <c r="S10" s="560"/>
      <c r="T10" s="560"/>
      <c r="U10" s="560"/>
      <c r="V10" s="560"/>
      <c r="W10" s="560"/>
      <c r="X10" s="560"/>
      <c r="Y10" s="560"/>
      <c r="Z10" s="560"/>
      <c r="AA10" s="560"/>
      <c r="AB10" s="560"/>
      <c r="AC10" s="560"/>
      <c r="AD10" s="560"/>
      <c r="AE10" s="560"/>
      <c r="AF10" s="560"/>
      <c r="AG10" s="560"/>
      <c r="AH10" s="560"/>
      <c r="AI10" s="560"/>
      <c r="AJ10" s="560"/>
      <c r="AK10" s="560"/>
      <c r="AL10" s="560"/>
      <c r="AM10" s="560"/>
      <c r="AN10" s="560"/>
      <c r="AO10" s="560"/>
      <c r="AP10" s="560"/>
      <c r="AQ10" s="560"/>
      <c r="AR10" s="560"/>
      <c r="AS10" s="560"/>
      <c r="AT10" s="560"/>
      <c r="AU10" s="560"/>
      <c r="AV10" s="560"/>
      <c r="AW10" s="56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</row>
    <row r="11" spans="1:80" s="11" customFormat="1" x14ac:dyDescent="0.25">
      <c r="A11" s="17"/>
      <c r="B11" s="17"/>
      <c r="C11" s="13"/>
      <c r="D11" s="13"/>
      <c r="E11" s="18"/>
      <c r="F11"/>
      <c r="G11" s="27"/>
      <c r="H11"/>
      <c r="I11"/>
      <c r="J11" s="24"/>
      <c r="K11"/>
      <c r="L11"/>
      <c r="M11"/>
      <c r="N11"/>
      <c r="O11" s="560"/>
      <c r="P11" s="560"/>
      <c r="Q11" s="560"/>
      <c r="R11" s="560"/>
      <c r="S11" s="560"/>
      <c r="T11" s="560"/>
      <c r="U11" s="560"/>
      <c r="V11" s="560"/>
      <c r="W11" s="560"/>
      <c r="X11" s="560"/>
      <c r="Y11" s="560"/>
      <c r="Z11" s="560"/>
      <c r="AA11" s="560"/>
      <c r="AB11" s="560"/>
      <c r="AC11" s="560"/>
      <c r="AD11" s="560"/>
      <c r="AE11" s="560"/>
      <c r="AF11" s="560"/>
      <c r="AG11" s="560"/>
      <c r="AH11" s="560"/>
      <c r="AI11" s="560"/>
      <c r="AJ11" s="560"/>
      <c r="AK11" s="560"/>
      <c r="AL11" s="560"/>
      <c r="AM11" s="560"/>
      <c r="AN11" s="560"/>
      <c r="AO11" s="560"/>
      <c r="AP11" s="560"/>
      <c r="AQ11" s="560"/>
      <c r="AR11" s="560"/>
      <c r="AS11" s="560"/>
      <c r="AT11" s="560"/>
      <c r="AU11" s="560"/>
      <c r="AV11" s="560"/>
      <c r="AW11" s="560"/>
      <c r="BB11" s="137"/>
      <c r="BC11" s="137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</row>
    <row r="12" spans="1:80" s="11" customFormat="1" ht="3.9" customHeight="1" x14ac:dyDescent="0.25">
      <c r="A12" s="17"/>
      <c r="B12" s="17"/>
      <c r="C12" s="13"/>
      <c r="D12" s="13"/>
      <c r="E12" s="18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</row>
    <row r="13" spans="1:80" s="11" customFormat="1" ht="12.75" hidden="1" customHeight="1" x14ac:dyDescent="0.25">
      <c r="A13" s="17"/>
      <c r="B13" s="17"/>
      <c r="C13" s="13"/>
      <c r="D13" s="13"/>
      <c r="E13" s="18"/>
      <c r="F13"/>
      <c r="G13" s="561"/>
      <c r="H13" s="562"/>
      <c r="I13" s="563"/>
      <c r="J13" s="28"/>
      <c r="K13" s="561"/>
      <c r="L13" s="562"/>
      <c r="M13" s="563"/>
      <c r="N13"/>
      <c r="O13" s="589"/>
      <c r="P13" s="589"/>
      <c r="Q13" s="589"/>
      <c r="R13" s="589"/>
      <c r="S13" s="589"/>
      <c r="T13" s="589"/>
      <c r="U13" s="589"/>
      <c r="V13" s="589"/>
      <c r="W13" s="589"/>
      <c r="X13" s="589"/>
      <c r="Y13" s="589"/>
      <c r="Z13" s="589"/>
      <c r="AA13" s="589"/>
      <c r="AB13" s="589"/>
      <c r="AC13" s="589"/>
      <c r="AD13" s="589"/>
      <c r="AE13" s="589"/>
      <c r="AF13" s="589"/>
      <c r="AG13" s="589"/>
      <c r="AH13" s="589"/>
      <c r="AI13" s="589"/>
      <c r="AJ13" s="589"/>
      <c r="AK13" s="589"/>
      <c r="AL13" s="589"/>
      <c r="AM13" s="589"/>
      <c r="AN13" s="589"/>
      <c r="AO13" s="589"/>
      <c r="AP13" s="589"/>
      <c r="AQ13" s="589"/>
      <c r="AR13" s="589"/>
      <c r="AS13" s="589"/>
      <c r="AT13" s="589"/>
      <c r="AU13" s="589"/>
      <c r="AV13" s="589"/>
      <c r="AW13" s="589"/>
      <c r="AX13" s="29"/>
      <c r="AY13" s="29"/>
      <c r="AZ13" s="29"/>
      <c r="BA13" s="29"/>
      <c r="BB13" s="29"/>
      <c r="BC13" s="29"/>
      <c r="BD13" s="29"/>
      <c r="BE13" s="29"/>
      <c r="BF13" s="29"/>
      <c r="BG13" s="29"/>
      <c r="BH13" s="29"/>
      <c r="BI13" s="29"/>
    </row>
    <row r="14" spans="1:80" s="11" customFormat="1" ht="12.75" hidden="1" customHeight="1" x14ac:dyDescent="0.25">
      <c r="A14" s="17"/>
      <c r="B14" s="17"/>
      <c r="C14" s="13"/>
      <c r="D14" s="13"/>
      <c r="E14" s="18"/>
      <c r="F14"/>
      <c r="G14" s="30"/>
      <c r="H14" s="30"/>
      <c r="I14" s="30"/>
      <c r="K14" s="30"/>
      <c r="L14" s="30"/>
      <c r="M14" s="30"/>
      <c r="N14"/>
      <c r="O14" s="589"/>
      <c r="P14" s="589"/>
      <c r="Q14" s="589"/>
      <c r="R14" s="589"/>
      <c r="S14" s="589"/>
      <c r="T14" s="589"/>
      <c r="U14" s="589"/>
      <c r="V14" s="589"/>
      <c r="W14" s="589"/>
      <c r="X14" s="589"/>
      <c r="Y14" s="589"/>
      <c r="Z14" s="589"/>
      <c r="AA14" s="589"/>
      <c r="AB14" s="589"/>
      <c r="AC14" s="589"/>
      <c r="AD14" s="589"/>
      <c r="AE14" s="589"/>
      <c r="AF14" s="589"/>
      <c r="AG14" s="589"/>
      <c r="AH14" s="589"/>
      <c r="AI14" s="589"/>
      <c r="AJ14" s="589"/>
      <c r="AK14" s="589"/>
      <c r="AL14" s="589"/>
      <c r="AM14" s="589"/>
      <c r="AN14" s="589"/>
      <c r="AO14" s="589"/>
      <c r="AP14" s="589"/>
      <c r="AQ14" s="589"/>
      <c r="AR14" s="589"/>
      <c r="AS14" s="589"/>
      <c r="AT14" s="589"/>
      <c r="AU14" s="589"/>
      <c r="AV14" s="589"/>
      <c r="AW14" s="589"/>
      <c r="AX14" s="29"/>
      <c r="AY14" s="29"/>
      <c r="AZ14" s="29"/>
      <c r="BA14" s="29"/>
      <c r="BB14" s="29"/>
      <c r="BC14" s="29"/>
      <c r="BD14" s="29"/>
      <c r="BE14" s="29"/>
      <c r="BF14" s="29"/>
      <c r="BG14" s="29"/>
      <c r="BH14" s="29"/>
      <c r="BI14" s="29"/>
    </row>
    <row r="15" spans="1:80" s="11" customFormat="1" ht="12.75" hidden="1" customHeight="1" x14ac:dyDescent="0.25">
      <c r="A15" s="17"/>
      <c r="B15" s="17"/>
      <c r="C15" s="13"/>
      <c r="D15" s="13"/>
      <c r="E15" s="18"/>
      <c r="F15"/>
      <c r="N15"/>
      <c r="O15" s="589"/>
      <c r="P15" s="589"/>
      <c r="Q15" s="589"/>
      <c r="R15" s="589"/>
      <c r="S15" s="589"/>
      <c r="T15" s="589"/>
      <c r="U15" s="589"/>
      <c r="V15" s="589"/>
      <c r="W15" s="589"/>
      <c r="X15" s="589"/>
      <c r="Y15" s="589"/>
      <c r="Z15" s="589"/>
      <c r="AA15" s="589"/>
      <c r="AB15" s="589"/>
      <c r="AC15" s="589"/>
      <c r="AD15" s="589"/>
      <c r="AE15" s="589"/>
      <c r="AF15" s="589"/>
      <c r="AG15" s="589"/>
      <c r="AH15" s="589"/>
      <c r="AI15" s="589"/>
      <c r="AJ15" s="589"/>
      <c r="AK15" s="589"/>
      <c r="AL15" s="589"/>
      <c r="AM15" s="589"/>
      <c r="AN15" s="589"/>
      <c r="AO15" s="589"/>
      <c r="AP15" s="589"/>
      <c r="AQ15" s="589"/>
      <c r="AR15" s="589"/>
      <c r="AS15" s="589"/>
      <c r="AT15" s="589"/>
      <c r="AU15" s="589"/>
      <c r="AV15" s="589"/>
      <c r="AW15" s="589"/>
      <c r="AX15" s="29"/>
      <c r="AY15" s="29"/>
      <c r="AZ15" s="29"/>
      <c r="BA15" s="29"/>
      <c r="BB15" s="29"/>
      <c r="BC15" s="29"/>
      <c r="BD15" s="29"/>
      <c r="BE15" s="29"/>
      <c r="BF15" s="29"/>
      <c r="BG15" s="29"/>
      <c r="BH15" s="29"/>
      <c r="BI15" s="29"/>
    </row>
    <row r="16" spans="1:80" s="11" customFormat="1" hidden="1" x14ac:dyDescent="0.25">
      <c r="A16" s="17"/>
      <c r="B16" s="17"/>
      <c r="C16" s="13"/>
      <c r="D16" s="13"/>
      <c r="E16" s="18"/>
      <c r="F16"/>
      <c r="G16"/>
      <c r="H16"/>
      <c r="I16"/>
      <c r="J16"/>
      <c r="K16"/>
      <c r="L16"/>
      <c r="M16"/>
      <c r="N16"/>
      <c r="O16" s="589"/>
      <c r="P16" s="589"/>
      <c r="Q16" s="589"/>
      <c r="R16" s="589"/>
      <c r="S16" s="589"/>
      <c r="T16" s="589"/>
      <c r="U16" s="589"/>
      <c r="V16" s="589"/>
      <c r="W16" s="589"/>
      <c r="X16" s="589"/>
      <c r="Y16" s="589"/>
      <c r="Z16" s="589"/>
      <c r="AA16" s="589"/>
      <c r="AB16" s="589"/>
      <c r="AC16" s="589"/>
      <c r="AD16" s="589"/>
      <c r="AE16" s="589"/>
      <c r="AF16" s="589"/>
      <c r="AG16" s="589"/>
      <c r="AH16" s="589"/>
      <c r="AI16" s="589"/>
      <c r="AJ16" s="589"/>
      <c r="AK16" s="589"/>
      <c r="AL16" s="589"/>
      <c r="AM16" s="589"/>
      <c r="AN16" s="589"/>
      <c r="AO16" s="589"/>
      <c r="AP16" s="589"/>
      <c r="AQ16" s="589"/>
      <c r="AR16" s="589"/>
      <c r="AS16" s="589"/>
      <c r="AT16" s="589"/>
      <c r="AU16" s="589"/>
      <c r="AV16" s="589"/>
      <c r="AW16" s="589"/>
      <c r="AX16" s="29"/>
      <c r="AY16" s="29"/>
      <c r="AZ16" s="29"/>
      <c r="BA16" s="29"/>
      <c r="BB16" s="29"/>
      <c r="BC16" s="29"/>
      <c r="BD16" s="29"/>
      <c r="BE16" s="29"/>
      <c r="BF16" s="29"/>
      <c r="BG16" s="29"/>
      <c r="BH16" s="29"/>
    </row>
    <row r="17" spans="1:92" s="11" customFormat="1" ht="3.9" customHeight="1" x14ac:dyDescent="0.25">
      <c r="A17" s="17"/>
      <c r="B17" s="17"/>
      <c r="C17" s="13"/>
      <c r="D17" s="13"/>
      <c r="E17" s="18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</row>
    <row r="18" spans="1:92" s="11" customFormat="1" ht="27.9" customHeight="1" x14ac:dyDescent="0.25">
      <c r="A18" s="17"/>
      <c r="B18" s="17"/>
      <c r="C18" s="13"/>
      <c r="D18" s="13"/>
      <c r="E18" s="18"/>
      <c r="F18"/>
      <c r="G18" s="603" t="s">
        <v>51</v>
      </c>
      <c r="H18" s="604"/>
      <c r="I18" s="604"/>
      <c r="J18" s="604"/>
      <c r="K18" s="604"/>
      <c r="L18" s="604"/>
      <c r="M18" s="604"/>
      <c r="N18" s="604"/>
      <c r="O18" s="604"/>
      <c r="P18" s="604"/>
      <c r="Q18" s="604"/>
      <c r="R18" s="604"/>
      <c r="S18" s="604"/>
      <c r="T18" s="604"/>
      <c r="U18" s="604"/>
      <c r="V18" s="604"/>
      <c r="W18" s="604"/>
      <c r="X18" s="604"/>
      <c r="Y18" s="604"/>
      <c r="Z18" s="604"/>
      <c r="AA18" s="604"/>
      <c r="AB18" s="604"/>
      <c r="AC18" s="604"/>
      <c r="AD18" s="604"/>
      <c r="AE18" s="604"/>
      <c r="AF18" s="604"/>
      <c r="AG18" s="604"/>
      <c r="AH18" s="604"/>
      <c r="AI18" s="604"/>
      <c r="AJ18" s="604"/>
      <c r="AK18" s="604"/>
      <c r="AL18" s="604"/>
      <c r="AM18" s="604"/>
      <c r="AN18" s="604"/>
      <c r="AO18" s="604"/>
      <c r="AP18" s="604"/>
      <c r="AQ18" s="604"/>
      <c r="AR18" s="604"/>
      <c r="AS18" s="604"/>
      <c r="AT18" s="604"/>
      <c r="AU18" s="604"/>
      <c r="AV18" s="604"/>
      <c r="AW18" s="605"/>
    </row>
    <row r="19" spans="1:92" s="11" customFormat="1" ht="3.9" customHeight="1" x14ac:dyDescent="0.25">
      <c r="A19" s="17"/>
      <c r="B19" s="17"/>
      <c r="C19" s="13"/>
      <c r="D19" s="13"/>
      <c r="E19" s="18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</row>
    <row r="20" spans="1:92" s="11" customFormat="1" ht="12.75" customHeight="1" x14ac:dyDescent="0.25">
      <c r="A20" s="17"/>
      <c r="B20" s="17"/>
      <c r="C20" s="13"/>
      <c r="D20" s="13"/>
      <c r="E20" s="18"/>
      <c r="F20"/>
      <c r="G20" s="756" t="s">
        <v>365</v>
      </c>
      <c r="H20" s="756"/>
      <c r="I20" s="756"/>
      <c r="J20" s="756"/>
      <c r="K20" s="756"/>
      <c r="L20" s="756"/>
      <c r="M20" s="756"/>
      <c r="N20" s="756"/>
      <c r="O20" s="756"/>
      <c r="P20" s="756"/>
      <c r="Q20" s="756"/>
      <c r="R20" s="756"/>
      <c r="S20" s="756"/>
      <c r="T20" s="756"/>
      <c r="U20" s="756"/>
      <c r="V20" s="756"/>
      <c r="W20" s="756"/>
      <c r="X20" s="756"/>
      <c r="Y20" s="756"/>
      <c r="Z20" s="756"/>
      <c r="AA20" s="756"/>
      <c r="AB20" s="756"/>
      <c r="AC20" s="756"/>
      <c r="AD20" s="756"/>
      <c r="AE20" s="756"/>
      <c r="AF20" s="756"/>
      <c r="AG20" s="756"/>
      <c r="AH20" s="756"/>
      <c r="AI20" s="756"/>
      <c r="AJ20" s="756"/>
      <c r="AK20" s="756"/>
      <c r="AL20" s="756"/>
      <c r="AM20" s="756"/>
      <c r="AN20" s="756"/>
      <c r="AO20" s="756"/>
      <c r="AP20" s="756"/>
      <c r="AQ20" s="756"/>
      <c r="AR20" s="756"/>
      <c r="AS20" s="756"/>
      <c r="AT20" s="756"/>
      <c r="AU20" s="756"/>
      <c r="AV20" s="756"/>
      <c r="AW20" s="756"/>
    </row>
    <row r="21" spans="1:92" s="11" customFormat="1" ht="3.9" customHeight="1" x14ac:dyDescent="0.25">
      <c r="A21" s="17"/>
      <c r="B21" s="17"/>
      <c r="C21" s="13"/>
      <c r="D21" s="13"/>
      <c r="E21" s="18"/>
      <c r="F21"/>
      <c r="G21" s="12"/>
      <c r="H21" s="12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</row>
    <row r="22" spans="1:92" ht="12" customHeight="1" x14ac:dyDescent="0.25">
      <c r="A22" s="31"/>
      <c r="B22"/>
      <c r="C22"/>
      <c r="D22"/>
      <c r="E22"/>
      <c r="F22"/>
      <c r="G22" s="564">
        <v>1</v>
      </c>
      <c r="H22" s="565"/>
      <c r="I22" s="566"/>
      <c r="J22"/>
      <c r="K22" s="570" t="s">
        <v>366</v>
      </c>
      <c r="L22" s="587"/>
      <c r="M22" s="587"/>
      <c r="N22" s="587"/>
      <c r="O22" s="587"/>
      <c r="P22" s="587"/>
      <c r="Q22" s="587"/>
      <c r="R22" s="587"/>
      <c r="S22" s="587"/>
      <c r="T22" s="587"/>
      <c r="U22" s="587"/>
      <c r="V22" s="587"/>
      <c r="W22" s="587"/>
      <c r="X22" s="587"/>
      <c r="Y22" s="587"/>
      <c r="Z22" s="587"/>
      <c r="AA22" s="587"/>
      <c r="AB22" s="587"/>
      <c r="AC22" s="587"/>
      <c r="AD22" s="587"/>
      <c r="AE22" s="587"/>
      <c r="AF22" s="587"/>
      <c r="AG22" s="587"/>
      <c r="AH22" s="587"/>
      <c r="AI22" s="587"/>
      <c r="AJ22" s="587"/>
      <c r="AK22" s="587"/>
      <c r="AL22" s="587"/>
      <c r="AM22" s="587"/>
      <c r="AN22" s="587"/>
      <c r="AO22" s="587"/>
      <c r="AP22" s="587"/>
      <c r="AQ22" s="587"/>
      <c r="AR22" s="587"/>
      <c r="AS22" s="587"/>
      <c r="AT22" s="587"/>
      <c r="AU22" s="587"/>
      <c r="AV22" s="587"/>
      <c r="AW22" s="588"/>
      <c r="AX22"/>
      <c r="AY22"/>
      <c r="AZ22"/>
    </row>
    <row r="23" spans="1:92" ht="3.9" customHeight="1" x14ac:dyDescent="0.25">
      <c r="A23" s="31"/>
      <c r="B23"/>
      <c r="C23"/>
      <c r="D23"/>
      <c r="E23"/>
      <c r="F23"/>
      <c r="G23" s="25"/>
      <c r="H23" s="25"/>
      <c r="I23" s="26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</row>
    <row r="24" spans="1:92" ht="42" customHeight="1" x14ac:dyDescent="0.25">
      <c r="A24" s="31"/>
      <c r="B24"/>
      <c r="C24"/>
      <c r="D24"/>
      <c r="E24" s="32"/>
      <c r="F24"/>
      <c r="G24" s="564" t="s">
        <v>1</v>
      </c>
      <c r="H24" s="565"/>
      <c r="I24" s="566"/>
      <c r="J24"/>
      <c r="K24" s="570" t="s">
        <v>481</v>
      </c>
      <c r="L24" s="587"/>
      <c r="M24" s="587"/>
      <c r="N24" s="587"/>
      <c r="O24" s="587"/>
      <c r="P24" s="587"/>
      <c r="Q24" s="587"/>
      <c r="R24" s="587"/>
      <c r="S24" s="587"/>
      <c r="T24" s="587"/>
      <c r="U24" s="587"/>
      <c r="V24" s="587"/>
      <c r="W24" s="587"/>
      <c r="X24" s="587"/>
      <c r="Y24" s="587"/>
      <c r="Z24" s="587"/>
      <c r="AA24" s="587"/>
      <c r="AB24" s="587"/>
      <c r="AC24" s="587"/>
      <c r="AD24" s="587"/>
      <c r="AE24" s="587"/>
      <c r="AF24" s="587"/>
      <c r="AG24" s="587"/>
      <c r="AH24" s="587"/>
      <c r="AI24" s="587"/>
      <c r="AJ24" s="587"/>
      <c r="AK24" s="587"/>
      <c r="AL24" s="587"/>
      <c r="AM24" s="587"/>
      <c r="AN24" s="587"/>
      <c r="AO24" s="587"/>
      <c r="AP24" s="587"/>
      <c r="AQ24" s="587"/>
      <c r="AR24" s="587"/>
      <c r="AS24" s="587"/>
      <c r="AT24" s="587"/>
      <c r="AU24" s="587"/>
      <c r="AV24" s="587"/>
      <c r="AW24" s="588"/>
      <c r="AX24"/>
      <c r="AY24"/>
      <c r="AZ24"/>
    </row>
    <row r="25" spans="1:92" ht="38.1" customHeight="1" x14ac:dyDescent="0.25">
      <c r="A25" s="31"/>
      <c r="B25"/>
      <c r="C25"/>
      <c r="D25"/>
      <c r="E25" s="32"/>
      <c r="F25"/>
      <c r="G25" s="564" t="s">
        <v>40</v>
      </c>
      <c r="H25" s="565"/>
      <c r="I25" s="566"/>
      <c r="J25"/>
      <c r="K25" s="567" t="s">
        <v>482</v>
      </c>
      <c r="L25" s="568"/>
      <c r="M25" s="568"/>
      <c r="N25" s="568"/>
      <c r="O25" s="568"/>
      <c r="P25" s="568"/>
      <c r="Q25" s="568"/>
      <c r="R25" s="568"/>
      <c r="S25" s="568"/>
      <c r="T25" s="568"/>
      <c r="U25" s="568"/>
      <c r="V25" s="568"/>
      <c r="W25" s="568"/>
      <c r="X25" s="568"/>
      <c r="Y25" s="568"/>
      <c r="Z25" s="568"/>
      <c r="AA25" s="568"/>
      <c r="AB25" s="568"/>
      <c r="AC25" s="568"/>
      <c r="AD25" s="568"/>
      <c r="AE25" s="568"/>
      <c r="AF25" s="568"/>
      <c r="AG25" s="568"/>
      <c r="AH25" s="568"/>
      <c r="AI25" s="568"/>
      <c r="AJ25" s="568"/>
      <c r="AK25" s="568"/>
      <c r="AL25" s="568"/>
      <c r="AM25" s="568"/>
      <c r="AN25" s="568"/>
      <c r="AO25" s="568"/>
      <c r="AP25" s="568"/>
      <c r="AQ25" s="568"/>
      <c r="AR25" s="568"/>
      <c r="AS25" s="568"/>
      <c r="AT25" s="568"/>
      <c r="AU25" s="568"/>
      <c r="AV25" s="568"/>
      <c r="AW25" s="569"/>
      <c r="AX25"/>
      <c r="AY25"/>
      <c r="AZ25"/>
    </row>
    <row r="26" spans="1:92" s="11" customFormat="1" ht="48.6" customHeight="1" x14ac:dyDescent="0.25">
      <c r="A26" s="17"/>
      <c r="B26" s="17"/>
      <c r="C26" s="13"/>
      <c r="D26" s="13"/>
      <c r="E26" s="18"/>
      <c r="F26"/>
      <c r="G26" s="564" t="s">
        <v>41</v>
      </c>
      <c r="H26" s="565"/>
      <c r="I26" s="566"/>
      <c r="J26" s="32"/>
      <c r="K26" s="567" t="s">
        <v>483</v>
      </c>
      <c r="L26" s="568"/>
      <c r="M26" s="568"/>
      <c r="N26" s="568"/>
      <c r="O26" s="568"/>
      <c r="P26" s="568"/>
      <c r="Q26" s="568"/>
      <c r="R26" s="568"/>
      <c r="S26" s="568"/>
      <c r="T26" s="568"/>
      <c r="U26" s="568"/>
      <c r="V26" s="568"/>
      <c r="W26" s="568"/>
      <c r="X26" s="568"/>
      <c r="Y26" s="568"/>
      <c r="Z26" s="568"/>
      <c r="AA26" s="568"/>
      <c r="AB26" s="568"/>
      <c r="AC26" s="568"/>
      <c r="AD26" s="568"/>
      <c r="AE26" s="568"/>
      <c r="AF26" s="568"/>
      <c r="AG26" s="568"/>
      <c r="AH26" s="568"/>
      <c r="AI26" s="568"/>
      <c r="AJ26" s="568"/>
      <c r="AK26" s="568"/>
      <c r="AL26" s="568"/>
      <c r="AM26" s="568"/>
      <c r="AN26" s="568"/>
      <c r="AO26" s="568"/>
      <c r="AP26" s="568"/>
      <c r="AQ26" s="568"/>
      <c r="AR26" s="568"/>
      <c r="AS26" s="568"/>
      <c r="AT26" s="568"/>
      <c r="AU26" s="568"/>
      <c r="AV26" s="568"/>
      <c r="AW26" s="569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</row>
    <row r="27" spans="1:92" ht="25.2" customHeight="1" x14ac:dyDescent="0.25">
      <c r="A27" s="31"/>
      <c r="B27"/>
      <c r="C27"/>
      <c r="D27"/>
      <c r="E27" s="32"/>
      <c r="F27"/>
      <c r="G27" s="564" t="s">
        <v>44</v>
      </c>
      <c r="H27" s="565"/>
      <c r="I27" s="566"/>
      <c r="J27"/>
      <c r="K27" s="567" t="s">
        <v>466</v>
      </c>
      <c r="L27" s="568"/>
      <c r="M27" s="568"/>
      <c r="N27" s="568"/>
      <c r="O27" s="568"/>
      <c r="P27" s="568"/>
      <c r="Q27" s="568"/>
      <c r="R27" s="568"/>
      <c r="S27" s="568"/>
      <c r="T27" s="568"/>
      <c r="U27" s="568"/>
      <c r="V27" s="568"/>
      <c r="W27" s="568"/>
      <c r="X27" s="568"/>
      <c r="Y27" s="568"/>
      <c r="Z27" s="568"/>
      <c r="AA27" s="568"/>
      <c r="AB27" s="568"/>
      <c r="AC27" s="568"/>
      <c r="AD27" s="568"/>
      <c r="AE27" s="568"/>
      <c r="AF27" s="568"/>
      <c r="AG27" s="568"/>
      <c r="AH27" s="568"/>
      <c r="AI27" s="568"/>
      <c r="AJ27" s="568"/>
      <c r="AK27" s="568"/>
      <c r="AL27" s="568"/>
      <c r="AM27" s="568"/>
      <c r="AN27" s="568"/>
      <c r="AO27" s="568"/>
      <c r="AP27" s="568"/>
      <c r="AQ27" s="568"/>
      <c r="AR27" s="568"/>
      <c r="AS27" s="568"/>
      <c r="AT27" s="568"/>
      <c r="AU27" s="568"/>
      <c r="AV27" s="568"/>
      <c r="AW27" s="569"/>
      <c r="AX27"/>
      <c r="AY27"/>
      <c r="AZ27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</row>
    <row r="28" spans="1:92" ht="16.95" customHeight="1" x14ac:dyDescent="0.25">
      <c r="A28" s="31"/>
      <c r="B28"/>
      <c r="C28"/>
      <c r="D28"/>
      <c r="E28" s="32"/>
      <c r="F28"/>
      <c r="G28" s="564" t="s">
        <v>45</v>
      </c>
      <c r="H28" s="565"/>
      <c r="I28" s="566"/>
      <c r="J28"/>
      <c r="K28" s="567" t="s">
        <v>54</v>
      </c>
      <c r="L28" s="568"/>
      <c r="M28" s="568"/>
      <c r="N28" s="568"/>
      <c r="O28" s="568"/>
      <c r="P28" s="568"/>
      <c r="Q28" s="568"/>
      <c r="R28" s="568"/>
      <c r="S28" s="568"/>
      <c r="T28" s="568"/>
      <c r="U28" s="568"/>
      <c r="V28" s="568"/>
      <c r="W28" s="568"/>
      <c r="X28" s="568"/>
      <c r="Y28" s="568"/>
      <c r="Z28" s="568"/>
      <c r="AA28" s="568"/>
      <c r="AB28" s="568"/>
      <c r="AC28" s="568"/>
      <c r="AD28" s="568"/>
      <c r="AE28" s="568"/>
      <c r="AF28" s="568"/>
      <c r="AG28" s="568"/>
      <c r="AH28" s="568"/>
      <c r="AI28" s="568"/>
      <c r="AJ28" s="568"/>
      <c r="AK28" s="568"/>
      <c r="AL28" s="568"/>
      <c r="AM28" s="568"/>
      <c r="AN28" s="568"/>
      <c r="AO28" s="568"/>
      <c r="AP28" s="568"/>
      <c r="AQ28" s="568"/>
      <c r="AR28" s="568"/>
      <c r="AS28" s="568"/>
      <c r="AT28" s="568"/>
      <c r="AU28" s="568"/>
      <c r="AV28" s="568"/>
      <c r="AW28" s="569"/>
      <c r="AX28"/>
      <c r="AY28"/>
      <c r="AZ28"/>
    </row>
    <row r="29" spans="1:92" ht="12" hidden="1" customHeight="1" x14ac:dyDescent="0.25">
      <c r="A29" s="31"/>
      <c r="B29"/>
      <c r="C29"/>
      <c r="D29"/>
      <c r="E29" s="32"/>
      <c r="F29"/>
      <c r="G29" s="564" t="s">
        <v>53</v>
      </c>
      <c r="H29" s="565"/>
      <c r="I29" s="566"/>
      <c r="J29"/>
      <c r="K29" s="567"/>
      <c r="L29" s="568"/>
      <c r="M29" s="568"/>
      <c r="N29" s="568"/>
      <c r="O29" s="568"/>
      <c r="P29" s="568"/>
      <c r="Q29" s="568"/>
      <c r="R29" s="568"/>
      <c r="S29" s="568"/>
      <c r="T29" s="568"/>
      <c r="U29" s="568"/>
      <c r="V29" s="568"/>
      <c r="W29" s="568"/>
      <c r="X29" s="568"/>
      <c r="Y29" s="568"/>
      <c r="Z29" s="568"/>
      <c r="AA29" s="568"/>
      <c r="AB29" s="568"/>
      <c r="AC29" s="568"/>
      <c r="AD29" s="568"/>
      <c r="AE29" s="568"/>
      <c r="AF29" s="568"/>
      <c r="AG29" s="568"/>
      <c r="AH29" s="568"/>
      <c r="AI29" s="568"/>
      <c r="AJ29" s="568"/>
      <c r="AK29" s="568"/>
      <c r="AL29" s="568"/>
      <c r="AM29" s="568"/>
      <c r="AN29" s="568"/>
      <c r="AO29" s="568"/>
      <c r="AP29" s="568"/>
      <c r="AQ29" s="568"/>
      <c r="AR29" s="568"/>
      <c r="AS29" s="568"/>
      <c r="AT29" s="568"/>
      <c r="AU29" s="568"/>
      <c r="AV29" s="568"/>
      <c r="AW29" s="569"/>
      <c r="AX29"/>
      <c r="AY29"/>
      <c r="AZ29"/>
    </row>
    <row r="30" spans="1:92" s="11" customFormat="1" ht="3.9" customHeight="1" x14ac:dyDescent="0.25">
      <c r="A30" s="17"/>
      <c r="B30" s="17"/>
      <c r="C30" s="13"/>
      <c r="D30" s="13"/>
      <c r="E30" s="18"/>
      <c r="F30"/>
      <c r="G30" s="12"/>
      <c r="H30" s="12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</row>
    <row r="31" spans="1:92" ht="12" customHeight="1" x14ac:dyDescent="0.25">
      <c r="A31" s="31"/>
      <c r="B31"/>
      <c r="C31"/>
      <c r="D31"/>
      <c r="E31"/>
      <c r="F31"/>
      <c r="G31" s="564">
        <v>2</v>
      </c>
      <c r="H31" s="565"/>
      <c r="I31" s="566"/>
      <c r="J31"/>
      <c r="K31" s="570" t="s">
        <v>367</v>
      </c>
      <c r="L31" s="587"/>
      <c r="M31" s="587"/>
      <c r="N31" s="587"/>
      <c r="O31" s="587"/>
      <c r="P31" s="587"/>
      <c r="Q31" s="587"/>
      <c r="R31" s="587"/>
      <c r="S31" s="587"/>
      <c r="T31" s="587"/>
      <c r="U31" s="587"/>
      <c r="V31" s="587"/>
      <c r="W31" s="587"/>
      <c r="X31" s="587"/>
      <c r="Y31" s="587"/>
      <c r="Z31" s="587"/>
      <c r="AA31" s="587"/>
      <c r="AB31" s="587"/>
      <c r="AC31" s="587"/>
      <c r="AD31" s="587"/>
      <c r="AE31" s="587"/>
      <c r="AF31" s="587"/>
      <c r="AG31" s="587"/>
      <c r="AH31" s="587"/>
      <c r="AI31" s="587"/>
      <c r="AJ31" s="587"/>
      <c r="AK31" s="587"/>
      <c r="AL31" s="587"/>
      <c r="AM31" s="587"/>
      <c r="AN31" s="587"/>
      <c r="AO31" s="587"/>
      <c r="AP31" s="587"/>
      <c r="AQ31" s="587"/>
      <c r="AR31" s="587"/>
      <c r="AS31" s="587"/>
      <c r="AT31" s="587"/>
      <c r="AU31" s="587"/>
      <c r="AV31" s="587"/>
      <c r="AW31" s="588"/>
      <c r="AX31"/>
      <c r="AY31"/>
      <c r="AZ31"/>
    </row>
    <row r="32" spans="1:92" ht="3.9" customHeight="1" x14ac:dyDescent="0.25">
      <c r="A32" s="31"/>
      <c r="B32"/>
      <c r="C32"/>
      <c r="D32"/>
      <c r="E32"/>
      <c r="F32"/>
      <c r="G32" s="25"/>
      <c r="H32" s="25"/>
      <c r="I32" s="26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</row>
    <row r="33" spans="1:91" x14ac:dyDescent="0.25">
      <c r="A33" s="31"/>
      <c r="B33"/>
      <c r="C33"/>
      <c r="D33"/>
      <c r="E33" s="32"/>
      <c r="F33"/>
      <c r="G33" s="564" t="s">
        <v>55</v>
      </c>
      <c r="H33" s="565"/>
      <c r="I33" s="566"/>
      <c r="J33"/>
      <c r="K33" s="567" t="s">
        <v>368</v>
      </c>
      <c r="L33" s="568"/>
      <c r="M33" s="568"/>
      <c r="N33" s="568"/>
      <c r="O33" s="568"/>
      <c r="P33" s="568"/>
      <c r="Q33" s="568"/>
      <c r="R33" s="568"/>
      <c r="S33" s="568"/>
      <c r="T33" s="568"/>
      <c r="U33" s="568"/>
      <c r="V33" s="568"/>
      <c r="W33" s="568"/>
      <c r="X33" s="568"/>
      <c r="Y33" s="568"/>
      <c r="Z33" s="568"/>
      <c r="AA33" s="568"/>
      <c r="AB33" s="568"/>
      <c r="AC33" s="568"/>
      <c r="AD33" s="568"/>
      <c r="AE33" s="568"/>
      <c r="AF33" s="568"/>
      <c r="AG33" s="568"/>
      <c r="AH33" s="568"/>
      <c r="AI33" s="568"/>
      <c r="AJ33" s="568"/>
      <c r="AK33" s="568"/>
      <c r="AL33" s="568"/>
      <c r="AM33" s="568"/>
      <c r="AN33" s="568"/>
      <c r="AO33" s="568"/>
      <c r="AP33" s="568"/>
      <c r="AQ33" s="568"/>
      <c r="AR33" s="568"/>
      <c r="AS33" s="568"/>
      <c r="AT33" s="568"/>
      <c r="AU33" s="568"/>
      <c r="AV33" s="568"/>
      <c r="AW33" s="569"/>
      <c r="AX33"/>
      <c r="AY33"/>
      <c r="AZ33"/>
    </row>
    <row r="34" spans="1:91" s="11" customFormat="1" ht="3.9" customHeight="1" x14ac:dyDescent="0.25">
      <c r="A34" s="17"/>
      <c r="B34" s="17"/>
      <c r="C34" s="13"/>
      <c r="D34" s="13"/>
      <c r="E34" s="18"/>
      <c r="F34"/>
      <c r="G34" s="12"/>
      <c r="H34" s="12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</row>
    <row r="35" spans="1:91" ht="12" customHeight="1" x14ac:dyDescent="0.25">
      <c r="A35" s="31"/>
      <c r="B35"/>
      <c r="C35"/>
      <c r="D35"/>
      <c r="E35"/>
      <c r="F35"/>
      <c r="G35" s="564">
        <v>3</v>
      </c>
      <c r="H35" s="565"/>
      <c r="I35" s="566"/>
      <c r="J35"/>
      <c r="K35" s="570" t="s">
        <v>369</v>
      </c>
      <c r="L35" s="587"/>
      <c r="M35" s="587"/>
      <c r="N35" s="587"/>
      <c r="O35" s="587"/>
      <c r="P35" s="587"/>
      <c r="Q35" s="587"/>
      <c r="R35" s="587"/>
      <c r="S35" s="587"/>
      <c r="T35" s="587"/>
      <c r="U35" s="587"/>
      <c r="V35" s="587"/>
      <c r="W35" s="587"/>
      <c r="X35" s="587"/>
      <c r="Y35" s="587"/>
      <c r="Z35" s="587"/>
      <c r="AA35" s="587"/>
      <c r="AB35" s="587"/>
      <c r="AC35" s="587"/>
      <c r="AD35" s="587"/>
      <c r="AE35" s="587"/>
      <c r="AF35" s="587"/>
      <c r="AG35" s="587"/>
      <c r="AH35" s="587"/>
      <c r="AI35" s="587"/>
      <c r="AJ35" s="587"/>
      <c r="AK35" s="587"/>
      <c r="AL35" s="587"/>
      <c r="AM35" s="587"/>
      <c r="AN35" s="587"/>
      <c r="AO35" s="587"/>
      <c r="AP35" s="587"/>
      <c r="AQ35" s="587"/>
      <c r="AR35" s="587"/>
      <c r="AS35" s="587"/>
      <c r="AT35" s="587"/>
      <c r="AU35" s="587"/>
      <c r="AV35" s="587"/>
      <c r="AW35" s="588"/>
      <c r="AX35"/>
      <c r="AY35"/>
      <c r="AZ35"/>
    </row>
    <row r="36" spans="1:91" ht="3.9" customHeight="1" x14ac:dyDescent="0.25">
      <c r="A36" s="31"/>
      <c r="B36"/>
      <c r="C36"/>
      <c r="D36"/>
      <c r="E36"/>
      <c r="F36"/>
      <c r="G36" s="25"/>
      <c r="H36" s="25"/>
      <c r="I36" s="2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</row>
    <row r="37" spans="1:91" ht="27.9" customHeight="1" x14ac:dyDescent="0.25">
      <c r="A37" s="31"/>
      <c r="B37"/>
      <c r="C37"/>
      <c r="D37"/>
      <c r="E37" s="32"/>
      <c r="F37"/>
      <c r="G37" s="564" t="s">
        <v>370</v>
      </c>
      <c r="H37" s="565"/>
      <c r="I37" s="566"/>
      <c r="J37"/>
      <c r="K37" s="567" t="s">
        <v>461</v>
      </c>
      <c r="L37" s="568"/>
      <c r="M37" s="568"/>
      <c r="N37" s="568"/>
      <c r="O37" s="568"/>
      <c r="P37" s="568"/>
      <c r="Q37" s="568"/>
      <c r="R37" s="568"/>
      <c r="S37" s="568"/>
      <c r="T37" s="568"/>
      <c r="U37" s="568"/>
      <c r="V37" s="568"/>
      <c r="W37" s="568"/>
      <c r="X37" s="568"/>
      <c r="Y37" s="568"/>
      <c r="Z37" s="568"/>
      <c r="AA37" s="568"/>
      <c r="AB37" s="568"/>
      <c r="AC37" s="568"/>
      <c r="AD37" s="568"/>
      <c r="AE37" s="568"/>
      <c r="AF37" s="568"/>
      <c r="AG37" s="568"/>
      <c r="AH37" s="568"/>
      <c r="AI37" s="568"/>
      <c r="AJ37" s="568"/>
      <c r="AK37" s="568"/>
      <c r="AL37" s="568"/>
      <c r="AM37" s="568"/>
      <c r="AN37" s="568"/>
      <c r="AO37" s="568"/>
      <c r="AP37" s="568"/>
      <c r="AQ37" s="568"/>
      <c r="AR37" s="568"/>
      <c r="AS37" s="568"/>
      <c r="AT37" s="568"/>
      <c r="AU37" s="568"/>
      <c r="AV37" s="568"/>
      <c r="AW37" s="569"/>
      <c r="AX37"/>
      <c r="AY37"/>
      <c r="AZ37"/>
    </row>
    <row r="38" spans="1:91" ht="12" customHeight="1" x14ac:dyDescent="0.25">
      <c r="A38" s="31"/>
      <c r="B38"/>
      <c r="C38"/>
      <c r="D38"/>
      <c r="E38" s="32"/>
      <c r="F38"/>
      <c r="G38" s="564" t="s">
        <v>371</v>
      </c>
      <c r="H38" s="565"/>
      <c r="I38" s="566"/>
      <c r="J38"/>
      <c r="K38" s="567" t="s">
        <v>450</v>
      </c>
      <c r="L38" s="568"/>
      <c r="M38" s="568"/>
      <c r="N38" s="568"/>
      <c r="O38" s="568"/>
      <c r="P38" s="568"/>
      <c r="Q38" s="568"/>
      <c r="R38" s="568"/>
      <c r="S38" s="568"/>
      <c r="T38" s="568"/>
      <c r="U38" s="568"/>
      <c r="V38" s="568"/>
      <c r="W38" s="568"/>
      <c r="X38" s="568"/>
      <c r="Y38" s="568"/>
      <c r="Z38" s="568"/>
      <c r="AA38" s="568"/>
      <c r="AB38" s="568"/>
      <c r="AC38" s="568"/>
      <c r="AD38" s="568"/>
      <c r="AE38" s="568"/>
      <c r="AF38" s="568"/>
      <c r="AG38" s="568"/>
      <c r="AH38" s="568"/>
      <c r="AI38" s="568"/>
      <c r="AJ38" s="568"/>
      <c r="AK38" s="568"/>
      <c r="AL38" s="568"/>
      <c r="AM38" s="568"/>
      <c r="AN38" s="568"/>
      <c r="AO38" s="568"/>
      <c r="AP38" s="568"/>
      <c r="AQ38" s="568"/>
      <c r="AR38" s="568"/>
      <c r="AS38" s="568"/>
      <c r="AT38" s="568"/>
      <c r="AU38" s="568"/>
      <c r="AV38" s="568"/>
      <c r="AW38" s="569"/>
      <c r="AX38"/>
      <c r="AY38"/>
      <c r="AZ38"/>
    </row>
    <row r="39" spans="1:91" ht="12" customHeight="1" x14ac:dyDescent="0.25">
      <c r="A39" s="31"/>
      <c r="B39"/>
      <c r="C39"/>
      <c r="D39"/>
      <c r="E39" s="32"/>
      <c r="F39"/>
      <c r="G39" s="564" t="s">
        <v>372</v>
      </c>
      <c r="H39" s="565"/>
      <c r="I39" s="566"/>
      <c r="J39"/>
      <c r="K39" s="567" t="s">
        <v>451</v>
      </c>
      <c r="L39" s="568"/>
      <c r="M39" s="568"/>
      <c r="N39" s="568"/>
      <c r="O39" s="568"/>
      <c r="P39" s="568"/>
      <c r="Q39" s="568"/>
      <c r="R39" s="568"/>
      <c r="S39" s="568"/>
      <c r="T39" s="568"/>
      <c r="U39" s="568"/>
      <c r="V39" s="568"/>
      <c r="W39" s="568"/>
      <c r="X39" s="568"/>
      <c r="Y39" s="568"/>
      <c r="Z39" s="568"/>
      <c r="AA39" s="568"/>
      <c r="AB39" s="568"/>
      <c r="AC39" s="568"/>
      <c r="AD39" s="568"/>
      <c r="AE39" s="568"/>
      <c r="AF39" s="568"/>
      <c r="AG39" s="568"/>
      <c r="AH39" s="568"/>
      <c r="AI39" s="568"/>
      <c r="AJ39" s="568"/>
      <c r="AK39" s="568"/>
      <c r="AL39" s="568"/>
      <c r="AM39" s="568"/>
      <c r="AN39" s="568"/>
      <c r="AO39" s="568"/>
      <c r="AP39" s="568"/>
      <c r="AQ39" s="568"/>
      <c r="AR39" s="568"/>
      <c r="AS39" s="568"/>
      <c r="AT39" s="568"/>
      <c r="AU39" s="568"/>
      <c r="AV39" s="568"/>
      <c r="AW39" s="569"/>
      <c r="AX39"/>
      <c r="AY39"/>
      <c r="AZ39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</row>
    <row r="40" spans="1:91" ht="38.1" customHeight="1" x14ac:dyDescent="0.25">
      <c r="A40" s="31"/>
      <c r="B40"/>
      <c r="C40"/>
      <c r="D40"/>
      <c r="E40" s="32"/>
      <c r="F40"/>
      <c r="G40" s="748" t="s">
        <v>373</v>
      </c>
      <c r="H40" s="749"/>
      <c r="I40" s="750"/>
      <c r="J40"/>
      <c r="K40" s="742" t="s">
        <v>497</v>
      </c>
      <c r="L40" s="743"/>
      <c r="M40" s="743"/>
      <c r="N40" s="743"/>
      <c r="O40" s="743"/>
      <c r="P40" s="743"/>
      <c r="Q40" s="743"/>
      <c r="R40" s="743"/>
      <c r="S40" s="743"/>
      <c r="T40" s="743"/>
      <c r="U40" s="743"/>
      <c r="V40" s="743"/>
      <c r="W40" s="743"/>
      <c r="X40" s="743"/>
      <c r="Y40" s="743"/>
      <c r="Z40" s="743"/>
      <c r="AA40" s="743"/>
      <c r="AB40" s="743"/>
      <c r="AC40" s="743"/>
      <c r="AD40" s="743"/>
      <c r="AE40" s="743"/>
      <c r="AF40" s="743"/>
      <c r="AG40" s="743"/>
      <c r="AH40" s="743"/>
      <c r="AI40" s="743"/>
      <c r="AJ40" s="743"/>
      <c r="AK40" s="743"/>
      <c r="AL40" s="743"/>
      <c r="AM40" s="743"/>
      <c r="AN40" s="743"/>
      <c r="AO40" s="743"/>
      <c r="AP40" s="743"/>
      <c r="AQ40" s="743"/>
      <c r="AR40" s="743"/>
      <c r="AS40" s="743"/>
      <c r="AT40" s="743"/>
      <c r="AU40" s="743"/>
      <c r="AV40" s="743"/>
      <c r="AW40" s="744"/>
      <c r="AX40"/>
      <c r="AY40"/>
      <c r="AZ40"/>
    </row>
    <row r="41" spans="1:91" ht="26.4" customHeight="1" x14ac:dyDescent="0.25">
      <c r="A41" s="31"/>
      <c r="B41"/>
      <c r="C41"/>
      <c r="D41"/>
      <c r="E41" s="32"/>
      <c r="F41"/>
      <c r="G41" s="751"/>
      <c r="H41" s="752"/>
      <c r="I41" s="753"/>
      <c r="J41"/>
      <c r="K41" s="745"/>
      <c r="L41" s="746"/>
      <c r="M41" s="746"/>
      <c r="N41" s="746"/>
      <c r="O41" s="746"/>
      <c r="P41" s="746"/>
      <c r="Q41" s="746"/>
      <c r="R41" s="746"/>
      <c r="S41" s="746"/>
      <c r="T41" s="746"/>
      <c r="U41" s="746"/>
      <c r="V41" s="746"/>
      <c r="W41" s="746"/>
      <c r="X41" s="746"/>
      <c r="Y41" s="746"/>
      <c r="Z41" s="746"/>
      <c r="AA41" s="746"/>
      <c r="AB41" s="746"/>
      <c r="AC41" s="746"/>
      <c r="AD41" s="746"/>
      <c r="AE41" s="746"/>
      <c r="AF41" s="746"/>
      <c r="AG41" s="746"/>
      <c r="AH41" s="746"/>
      <c r="AI41" s="746"/>
      <c r="AJ41" s="746"/>
      <c r="AK41" s="746"/>
      <c r="AL41" s="746"/>
      <c r="AM41" s="746"/>
      <c r="AN41" s="746"/>
      <c r="AO41" s="746"/>
      <c r="AP41" s="746"/>
      <c r="AQ41" s="746"/>
      <c r="AR41" s="746"/>
      <c r="AS41" s="746"/>
      <c r="AT41" s="746"/>
      <c r="AU41" s="746"/>
      <c r="AV41" s="746"/>
      <c r="AW41" s="747"/>
      <c r="AX41"/>
      <c r="AY41"/>
      <c r="AZ41"/>
    </row>
    <row r="42" spans="1:91" ht="54.6" customHeight="1" x14ac:dyDescent="0.25">
      <c r="A42"/>
      <c r="B42"/>
      <c r="C42"/>
      <c r="D42"/>
      <c r="E42" s="32"/>
      <c r="F42"/>
      <c r="G42" s="138"/>
      <c r="H42" s="138"/>
      <c r="I42" s="138"/>
      <c r="J42"/>
      <c r="K42" s="127"/>
      <c r="L42" s="127"/>
      <c r="M42" s="127"/>
      <c r="N42" s="127"/>
      <c r="O42" s="127"/>
      <c r="P42" s="127"/>
      <c r="Q42" s="127"/>
      <c r="R42" s="127"/>
      <c r="S42" s="127"/>
      <c r="T42" s="127"/>
      <c r="U42" s="127"/>
      <c r="V42" s="127"/>
      <c r="W42" s="127"/>
      <c r="X42" s="127"/>
      <c r="Y42" s="127"/>
      <c r="Z42" s="127"/>
      <c r="AA42" s="127"/>
      <c r="AB42" s="127"/>
      <c r="AC42" s="127"/>
      <c r="AD42" s="127"/>
      <c r="AE42" s="127"/>
      <c r="AF42" s="127"/>
      <c r="AG42" s="127"/>
      <c r="AH42" s="127"/>
      <c r="AI42" s="127"/>
      <c r="AJ42" s="127"/>
      <c r="AK42" s="127"/>
      <c r="AL42" s="127"/>
      <c r="AM42" s="127"/>
      <c r="AN42" s="127"/>
      <c r="AO42" s="127"/>
      <c r="AP42" s="127"/>
      <c r="AQ42" s="127"/>
      <c r="AR42" s="127"/>
      <c r="AS42" s="127"/>
      <c r="AT42" s="127"/>
      <c r="AU42" s="127"/>
      <c r="AV42" s="127"/>
      <c r="AW42" s="127"/>
      <c r="AX42"/>
      <c r="AY42"/>
      <c r="AZ42"/>
    </row>
    <row r="43" spans="1:91" ht="54.6" customHeight="1" x14ac:dyDescent="0.25">
      <c r="A43"/>
      <c r="B43"/>
      <c r="C43"/>
      <c r="D43"/>
      <c r="E43" s="32"/>
      <c r="F43"/>
      <c r="G43" s="138"/>
      <c r="H43" s="138"/>
      <c r="I43" s="138"/>
      <c r="J43"/>
      <c r="K43" s="127"/>
      <c r="L43" s="127"/>
      <c r="M43" s="127"/>
      <c r="N43" s="127"/>
      <c r="O43" s="127"/>
      <c r="P43" s="127"/>
      <c r="Q43" s="127"/>
      <c r="R43" s="127"/>
      <c r="S43" s="127"/>
      <c r="T43" s="127"/>
      <c r="U43" s="127"/>
      <c r="V43" s="127"/>
      <c r="W43" s="127"/>
      <c r="X43" s="127"/>
      <c r="Y43" s="127"/>
      <c r="Z43" s="127"/>
      <c r="AA43" s="127"/>
      <c r="AB43" s="127"/>
      <c r="AC43" s="127"/>
      <c r="AD43" s="127"/>
      <c r="AE43" s="127"/>
      <c r="AF43" s="127"/>
      <c r="AG43" s="127"/>
      <c r="AH43" s="127"/>
      <c r="AI43" s="127"/>
      <c r="AJ43" s="127"/>
      <c r="AK43" s="127"/>
      <c r="AL43" s="127"/>
      <c r="AM43" s="127"/>
      <c r="AN43" s="127"/>
      <c r="AO43" s="127"/>
      <c r="AP43" s="127"/>
      <c r="AQ43" s="127"/>
      <c r="AR43" s="127"/>
      <c r="AS43" s="127"/>
      <c r="AT43" s="127"/>
      <c r="AU43" s="127"/>
      <c r="AV43" s="127"/>
      <c r="AW43" s="127"/>
      <c r="AX43"/>
      <c r="AY43"/>
      <c r="AZ43"/>
    </row>
    <row r="44" spans="1:91" ht="54.6" customHeight="1" x14ac:dyDescent="0.25">
      <c r="A44"/>
      <c r="B44"/>
      <c r="C44"/>
      <c r="D44"/>
      <c r="E44" s="32"/>
      <c r="F44"/>
      <c r="G44" s="138"/>
      <c r="H44" s="138"/>
      <c r="I44" s="138"/>
      <c r="J44"/>
      <c r="K44" s="127"/>
      <c r="L44" s="127"/>
      <c r="M44" s="127"/>
      <c r="N44" s="127"/>
      <c r="O44" s="127"/>
      <c r="P44" s="127"/>
      <c r="Q44" s="127"/>
      <c r="R44" s="127"/>
      <c r="S44" s="127"/>
      <c r="T44" s="127"/>
      <c r="U44" s="127"/>
      <c r="V44" s="127"/>
      <c r="W44" s="127"/>
      <c r="X44" s="127"/>
      <c r="Y44" s="127"/>
      <c r="Z44" s="127"/>
      <c r="AA44" s="127"/>
      <c r="AB44" s="127"/>
      <c r="AC44" s="127"/>
      <c r="AD44" s="127"/>
      <c r="AE44" s="127"/>
      <c r="AF44" s="127"/>
      <c r="AG44" s="127"/>
      <c r="AH44" s="127"/>
      <c r="AI44" s="127"/>
      <c r="AJ44" s="127"/>
      <c r="AK44" s="127"/>
      <c r="AL44" s="127"/>
      <c r="AM44" s="127"/>
      <c r="AN44" s="127"/>
      <c r="AO44" s="127"/>
      <c r="AP44" s="127"/>
      <c r="AQ44" s="127"/>
      <c r="AR44" s="127"/>
      <c r="AS44" s="127"/>
      <c r="AT44" s="127"/>
      <c r="AU44" s="127"/>
      <c r="AV44" s="127"/>
      <c r="AW44" s="127"/>
      <c r="AX44"/>
      <c r="AY44"/>
      <c r="AZ44"/>
    </row>
    <row r="45" spans="1:91" ht="54.6" customHeight="1" x14ac:dyDescent="0.25">
      <c r="A45"/>
      <c r="B45"/>
      <c r="C45"/>
      <c r="D45"/>
      <c r="E45" s="32"/>
      <c r="F45"/>
      <c r="G45" s="138"/>
      <c r="H45" s="138"/>
      <c r="I45" s="138"/>
      <c r="J45"/>
      <c r="K45" s="127"/>
      <c r="L45" s="127"/>
      <c r="M45" s="127"/>
      <c r="N45" s="127"/>
      <c r="O45" s="127"/>
      <c r="P45" s="127"/>
      <c r="Q45" s="127"/>
      <c r="R45" s="127"/>
      <c r="S45" s="127"/>
      <c r="T45" s="127"/>
      <c r="U45" s="127"/>
      <c r="V45" s="127"/>
      <c r="W45" s="127"/>
      <c r="X45" s="127"/>
      <c r="Y45" s="127"/>
      <c r="Z45" s="127"/>
      <c r="AA45" s="127"/>
      <c r="AB45" s="127"/>
      <c r="AC45" s="127"/>
      <c r="AD45" s="127"/>
      <c r="AE45" s="127"/>
      <c r="AF45" s="127"/>
      <c r="AG45" s="127"/>
      <c r="AH45" s="127"/>
      <c r="AI45" s="127"/>
      <c r="AJ45" s="127"/>
      <c r="AK45" s="127"/>
      <c r="AL45" s="127"/>
      <c r="AM45" s="127"/>
      <c r="AN45" s="127"/>
      <c r="AO45" s="127"/>
      <c r="AP45" s="127"/>
      <c r="AQ45" s="127"/>
      <c r="AR45" s="127"/>
      <c r="AS45" s="127"/>
      <c r="AT45" s="127"/>
      <c r="AU45" s="127"/>
      <c r="AV45" s="127"/>
      <c r="AW45" s="127"/>
      <c r="AX45"/>
      <c r="AY45"/>
      <c r="AZ45"/>
    </row>
    <row r="46" spans="1:91" ht="54.6" customHeight="1" x14ac:dyDescent="0.25">
      <c r="A46"/>
      <c r="B46"/>
      <c r="C46"/>
      <c r="D46"/>
      <c r="E46" s="32"/>
      <c r="F46"/>
      <c r="G46" s="138"/>
      <c r="H46" s="138"/>
      <c r="I46" s="138"/>
      <c r="J46"/>
      <c r="K46" s="127"/>
      <c r="L46" s="127"/>
      <c r="M46" s="127"/>
      <c r="N46" s="127"/>
      <c r="O46" s="127"/>
      <c r="P46" s="127"/>
      <c r="Q46" s="127"/>
      <c r="R46" s="127"/>
      <c r="S46" s="127"/>
      <c r="T46" s="127"/>
      <c r="U46" s="127"/>
      <c r="V46" s="127"/>
      <c r="W46" s="127"/>
      <c r="X46" s="127"/>
      <c r="Y46" s="127"/>
      <c r="Z46" s="127"/>
      <c r="AA46" s="127"/>
      <c r="AB46" s="127"/>
      <c r="AC46" s="127"/>
      <c r="AD46" s="127"/>
      <c r="AE46" s="127"/>
      <c r="AF46" s="127"/>
      <c r="AG46" s="127"/>
      <c r="AH46" s="127"/>
      <c r="AI46" s="127"/>
      <c r="AJ46" s="127"/>
      <c r="AK46" s="127"/>
      <c r="AL46" s="127"/>
      <c r="AM46" s="127"/>
      <c r="AN46" s="127"/>
      <c r="AO46" s="127"/>
      <c r="AP46" s="127"/>
      <c r="AQ46" s="127"/>
      <c r="AR46" s="127"/>
      <c r="AS46" s="127"/>
      <c r="AT46" s="127"/>
      <c r="AU46" s="127"/>
      <c r="AV46" s="127"/>
      <c r="AW46" s="127"/>
      <c r="AX46"/>
      <c r="AY46"/>
      <c r="AZ46"/>
    </row>
    <row r="47" spans="1:91" ht="54.6" customHeight="1" x14ac:dyDescent="0.25">
      <c r="A47"/>
      <c r="B47"/>
      <c r="C47"/>
      <c r="D47"/>
      <c r="E47" s="32"/>
      <c r="F47"/>
      <c r="G47" s="138"/>
      <c r="H47" s="138"/>
      <c r="I47" s="138"/>
      <c r="J47"/>
      <c r="K47" s="127"/>
      <c r="L47" s="127"/>
      <c r="M47" s="127"/>
      <c r="N47" s="127"/>
      <c r="O47" s="127"/>
      <c r="P47" s="127"/>
      <c r="Q47" s="127"/>
      <c r="R47" s="127"/>
      <c r="S47" s="127"/>
      <c r="T47" s="127"/>
      <c r="U47" s="127"/>
      <c r="V47" s="127"/>
      <c r="W47" s="127"/>
      <c r="X47" s="127"/>
      <c r="Y47" s="127"/>
      <c r="Z47" s="127"/>
      <c r="AA47" s="127"/>
      <c r="AB47" s="127"/>
      <c r="AC47" s="127"/>
      <c r="AD47" s="127"/>
      <c r="AE47" s="127"/>
      <c r="AF47" s="127"/>
      <c r="AG47" s="127"/>
      <c r="AH47" s="127"/>
      <c r="AI47" s="127"/>
      <c r="AJ47" s="127"/>
      <c r="AK47" s="127"/>
      <c r="AL47" s="127"/>
      <c r="AM47" s="127"/>
      <c r="AN47" s="127"/>
      <c r="AO47" s="127"/>
      <c r="AP47" s="127"/>
      <c r="AQ47" s="127"/>
      <c r="AR47" s="127"/>
      <c r="AS47" s="127"/>
      <c r="AT47" s="127"/>
      <c r="AU47" s="127"/>
      <c r="AV47" s="127"/>
      <c r="AW47" s="127"/>
      <c r="AX47"/>
      <c r="AY47"/>
      <c r="AZ47"/>
    </row>
    <row r="48" spans="1:91" ht="12.9" customHeight="1" x14ac:dyDescent="0.25">
      <c r="F48" s="10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X48" s="10"/>
    </row>
    <row r="49" spans="1:227" ht="3.9" customHeight="1" x14ac:dyDescent="0.25">
      <c r="A49" s="8" t="e">
        <f>MATCH("mtde",E:E,0)</f>
        <v>#N/A</v>
      </c>
      <c r="B49" s="8">
        <f>MATCH("endfim2",E:E,0)</f>
        <v>74</v>
      </c>
      <c r="C49" s="8"/>
      <c r="D49" s="8"/>
      <c r="E49" s="33"/>
      <c r="G49" s="34"/>
      <c r="H49" s="35"/>
      <c r="J49" s="35"/>
      <c r="K49" s="35"/>
      <c r="L49" s="35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35"/>
      <c r="X49" s="35"/>
      <c r="Y49" s="35"/>
      <c r="Z49" s="35"/>
      <c r="AA49" s="35"/>
      <c r="AB49" s="35"/>
      <c r="AC49" s="35"/>
      <c r="AD49" s="35"/>
      <c r="AE49" s="35"/>
      <c r="AF49" s="35"/>
      <c r="AG49" s="35"/>
      <c r="AH49" s="35"/>
      <c r="AI49" s="36"/>
      <c r="AJ49" s="15"/>
      <c r="AY49"/>
      <c r="AZ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</row>
    <row r="50" spans="1:227" ht="9.9" customHeight="1" x14ac:dyDescent="0.25">
      <c r="A50" s="7" t="s">
        <v>3</v>
      </c>
      <c r="B50" s="8" t="s">
        <v>4</v>
      </c>
      <c r="C50" s="7" t="s">
        <v>5</v>
      </c>
      <c r="D50" s="7" t="s">
        <v>6</v>
      </c>
      <c r="E50" s="9" t="s">
        <v>7</v>
      </c>
      <c r="F50" s="37"/>
      <c r="G50" s="37"/>
      <c r="H50" s="37"/>
      <c r="I50" s="37"/>
      <c r="J50" s="37"/>
      <c r="K50" s="37"/>
      <c r="L50" s="37"/>
      <c r="M50" s="37"/>
      <c r="N50" s="37"/>
      <c r="O50" s="37"/>
      <c r="P50" s="37"/>
      <c r="Q50" s="37"/>
      <c r="R50" s="37"/>
      <c r="S50" s="739" t="s">
        <v>56</v>
      </c>
      <c r="T50" s="740"/>
      <c r="U50" s="212" t="s">
        <v>57</v>
      </c>
      <c r="V50" s="213"/>
      <c r="W50" s="213"/>
      <c r="X50" s="213"/>
      <c r="Y50" s="213"/>
      <c r="Z50" s="741"/>
      <c r="AA50" s="37"/>
      <c r="AB50" s="37"/>
      <c r="AC50" s="37"/>
      <c r="AD50" s="37"/>
      <c r="AE50" s="37"/>
      <c r="AF50" s="37"/>
      <c r="AG50" s="37"/>
      <c r="AH50" s="37"/>
      <c r="AI50" s="37"/>
      <c r="AJ50" s="37"/>
      <c r="AK50" s="37"/>
      <c r="AL50" s="37"/>
      <c r="AM50" s="37"/>
      <c r="AN50" s="37"/>
      <c r="AO50" s="11"/>
      <c r="AP50" s="610" t="s">
        <v>8</v>
      </c>
      <c r="AQ50" s="611"/>
      <c r="AR50" s="611"/>
      <c r="AS50" s="611"/>
      <c r="AT50" s="611"/>
      <c r="AU50" s="611"/>
      <c r="AV50" s="611"/>
      <c r="AW50" s="612"/>
      <c r="AX50" s="43"/>
      <c r="AY50"/>
      <c r="AZ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</row>
    <row r="51" spans="1:227" ht="9.9" customHeight="1" x14ac:dyDescent="0.25">
      <c r="B51" s="8" t="e">
        <f>MATCH(MAX(C53:C221),C53:C221,0)+5</f>
        <v>#N/A</v>
      </c>
      <c r="C51" s="8" t="e">
        <f>MATCH("D",D53:D221,0)+5</f>
        <v>#N/A</v>
      </c>
      <c r="D51" s="8" t="e">
        <f>MAX(C53:C0)</f>
        <v>#NAME?</v>
      </c>
      <c r="E51" s="38"/>
      <c r="F51" s="39"/>
      <c r="G51" s="39"/>
      <c r="H51" s="39"/>
      <c r="I51" s="39"/>
      <c r="J51" s="39"/>
      <c r="K51" s="39"/>
      <c r="L51" s="39"/>
      <c r="M51" s="39"/>
      <c r="N51" s="39"/>
      <c r="O51" s="39"/>
      <c r="P51" s="39"/>
      <c r="Q51" s="39"/>
      <c r="R51" s="39"/>
      <c r="S51" s="736"/>
      <c r="T51" s="737"/>
      <c r="U51" s="737"/>
      <c r="V51" s="737"/>
      <c r="W51" s="737"/>
      <c r="X51" s="737"/>
      <c r="Y51" s="737"/>
      <c r="Z51" s="738"/>
      <c r="AA51" s="39"/>
      <c r="AB51" s="39"/>
      <c r="AC51" s="39"/>
      <c r="AD51" s="39"/>
      <c r="AE51" s="39"/>
      <c r="AF51" s="39"/>
      <c r="AG51" s="39"/>
      <c r="AH51" s="39"/>
      <c r="AI51" s="39"/>
      <c r="AJ51" s="39"/>
      <c r="AK51" s="39"/>
      <c r="AL51" s="39"/>
      <c r="AM51" s="39"/>
      <c r="AN51" s="39"/>
      <c r="AO51" s="40"/>
      <c r="AP51" s="614" t="str">
        <f>IF(P_Ini="","#PÚBLICO","#EXTERNO.CONFIDENCIAL")</f>
        <v>#PÚBLICO</v>
      </c>
      <c r="AQ51" s="615"/>
      <c r="AR51" s="615"/>
      <c r="AS51" s="615"/>
      <c r="AT51" s="615"/>
      <c r="AU51" s="615"/>
      <c r="AV51" s="615"/>
      <c r="AW51" s="616"/>
      <c r="AX51" s="45"/>
      <c r="AY51"/>
      <c r="AZ51" s="559"/>
      <c r="BA51" s="559"/>
      <c r="BB51" s="559"/>
      <c r="BC51" s="559"/>
      <c r="BD51" s="559"/>
      <c r="BE51" s="1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</row>
    <row r="52" spans="1:227" ht="3.9" customHeight="1" x14ac:dyDescent="0.25">
      <c r="C52" s="8"/>
      <c r="D52" s="8"/>
      <c r="F52" s="41"/>
      <c r="G52" s="41"/>
      <c r="H52" s="41"/>
      <c r="I52" s="41"/>
      <c r="J52" s="41"/>
      <c r="K52" s="41"/>
      <c r="L52" s="41"/>
      <c r="M52" s="41"/>
      <c r="N52" s="41"/>
      <c r="O52" s="41"/>
      <c r="P52" s="41"/>
      <c r="Q52" s="41"/>
      <c r="R52" s="41"/>
      <c r="S52" s="36"/>
      <c r="T52" s="36"/>
      <c r="U52" s="36"/>
      <c r="V52" s="36"/>
      <c r="W52" s="36"/>
      <c r="X52" s="36"/>
      <c r="Y52" s="36"/>
      <c r="Z52" s="36"/>
      <c r="AA52" s="36"/>
      <c r="AB52" s="36"/>
      <c r="AC52" s="36"/>
      <c r="AD52" s="36"/>
      <c r="AE52" s="36"/>
      <c r="AF52" s="36"/>
      <c r="AG52" s="36"/>
      <c r="AH52" s="36"/>
      <c r="AI52" s="36"/>
      <c r="AJ52" s="42"/>
      <c r="AY52"/>
      <c r="AZ52" s="559"/>
      <c r="BA52" s="559"/>
      <c r="BB52" s="559"/>
      <c r="BC52" s="559"/>
      <c r="BD52" s="559"/>
      <c r="BE52" s="11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</row>
    <row r="53" spans="1:227" ht="12" customHeight="1" x14ac:dyDescent="0.25">
      <c r="C53" s="8"/>
      <c r="D53" s="8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613" t="s">
        <v>374</v>
      </c>
      <c r="V53" s="613"/>
      <c r="W53" s="613"/>
      <c r="X53" s="613"/>
      <c r="Y53" s="613"/>
      <c r="Z53" s="613"/>
      <c r="AA53" s="613"/>
      <c r="AB53" s="613"/>
      <c r="AC53" s="613"/>
      <c r="AD53" s="613"/>
      <c r="AE53" s="613"/>
      <c r="AF53" s="613"/>
      <c r="AG53" s="613"/>
      <c r="AH53" s="613"/>
      <c r="AI53" s="613"/>
      <c r="AJ53" s="613"/>
      <c r="AK53" s="613"/>
      <c r="AL53" s="613"/>
      <c r="AM53" s="613"/>
      <c r="AN53" s="613"/>
      <c r="AO53" s="613"/>
      <c r="AP53" s="613"/>
      <c r="AQ53" s="613"/>
      <c r="AR53" s="613"/>
      <c r="AS53" s="613"/>
      <c r="AT53" s="613"/>
      <c r="AU53" s="613"/>
      <c r="AV53" s="613"/>
      <c r="AW53" s="43"/>
      <c r="AX53" s="43"/>
      <c r="AY53"/>
      <c r="AZ53" s="559"/>
      <c r="BA53" s="559"/>
      <c r="BB53" s="559"/>
      <c r="BC53" s="559"/>
      <c r="BD53" s="559"/>
      <c r="BE53" s="11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</row>
    <row r="54" spans="1:227" ht="9.9" customHeight="1" x14ac:dyDescent="0.25">
      <c r="C54" s="8"/>
      <c r="D54" s="8"/>
      <c r="F54" s="44"/>
      <c r="G54" s="44"/>
      <c r="H54" s="44"/>
      <c r="I54" s="44"/>
      <c r="J54" s="44"/>
      <c r="K54" s="44"/>
      <c r="L54" s="44"/>
      <c r="M54" s="44"/>
      <c r="N54" s="44"/>
      <c r="O54" s="44"/>
      <c r="P54" s="44"/>
      <c r="Q54" s="44"/>
      <c r="R54" s="44"/>
      <c r="S54" s="20"/>
      <c r="T54" s="20"/>
      <c r="U54" s="618" t="s">
        <v>467</v>
      </c>
      <c r="V54" s="618"/>
      <c r="W54" s="618"/>
      <c r="X54" s="618"/>
      <c r="Y54" s="618"/>
      <c r="Z54" s="618"/>
      <c r="AA54" s="618"/>
      <c r="AB54" s="618"/>
      <c r="AC54" s="618"/>
      <c r="AD54" s="618"/>
      <c r="AE54" s="618"/>
      <c r="AF54" s="618"/>
      <c r="AG54" s="618"/>
      <c r="AH54" s="618"/>
      <c r="AI54" s="618"/>
      <c r="AJ54" s="618"/>
      <c r="AK54" s="618"/>
      <c r="AL54" s="618"/>
      <c r="AM54" s="618"/>
      <c r="AN54" s="618"/>
      <c r="AO54" s="618"/>
      <c r="AP54" s="618"/>
      <c r="AQ54" s="618"/>
      <c r="AR54" s="618"/>
      <c r="AS54" s="618"/>
      <c r="AT54" s="618"/>
      <c r="AU54" s="618"/>
      <c r="AV54" s="618"/>
      <c r="AW54" s="45"/>
      <c r="AX54" s="45"/>
      <c r="AY54"/>
      <c r="AZ54" s="559"/>
      <c r="BA54" s="559"/>
      <c r="BB54" s="559"/>
      <c r="BC54" s="559"/>
      <c r="BD54" s="559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</row>
    <row r="55" spans="1:227" ht="3.9" customHeight="1" x14ac:dyDescent="0.25">
      <c r="C55" s="8"/>
      <c r="D55" s="8"/>
      <c r="G55" s="46"/>
      <c r="H55" s="46"/>
      <c r="I55" s="46"/>
      <c r="J55" s="46"/>
      <c r="K55" s="46"/>
      <c r="L55" s="46"/>
      <c r="M55" s="46"/>
      <c r="N55" s="46"/>
      <c r="O55" s="46"/>
      <c r="P55" s="46"/>
      <c r="Q55" s="46"/>
      <c r="R55" s="46"/>
      <c r="S55" s="46"/>
      <c r="T55" s="46"/>
      <c r="U55" s="46"/>
      <c r="V55" s="46"/>
      <c r="W55" s="46"/>
      <c r="X55" s="46"/>
      <c r="Y55" s="46"/>
      <c r="Z55" s="46"/>
      <c r="AA55" s="46"/>
      <c r="AB55" s="46"/>
      <c r="AC55" s="46"/>
      <c r="AD55" s="46"/>
      <c r="AE55" s="46"/>
      <c r="AF55" s="46"/>
      <c r="AG55" s="46"/>
      <c r="AH55" s="46"/>
      <c r="AI55" s="46"/>
      <c r="AJ55" s="44"/>
      <c r="AY55"/>
      <c r="BA55" s="11"/>
      <c r="BB55" s="11"/>
      <c r="BC55" s="11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</row>
    <row r="56" spans="1:227" ht="12" customHeight="1" thickBot="1" x14ac:dyDescent="0.3">
      <c r="C56" s="8"/>
      <c r="D56" s="8"/>
      <c r="F56" s="47"/>
      <c r="G56" s="48" t="s">
        <v>48</v>
      </c>
      <c r="H56" s="47"/>
      <c r="I56" s="47"/>
      <c r="J56" s="47"/>
      <c r="K56" s="47"/>
      <c r="L56" s="47"/>
      <c r="M56" s="47"/>
      <c r="N56" s="47"/>
      <c r="O56" s="47"/>
      <c r="P56" s="47"/>
      <c r="Q56" s="47"/>
      <c r="R56" s="47"/>
      <c r="S56" s="47"/>
      <c r="T56" s="47"/>
      <c r="U56" s="47"/>
      <c r="V56" s="47"/>
      <c r="W56" s="47"/>
      <c r="X56" s="47"/>
      <c r="Y56" s="47"/>
      <c r="Z56" s="47"/>
      <c r="AA56" s="47"/>
      <c r="AB56" s="47"/>
      <c r="AC56" s="47"/>
      <c r="AD56" s="47"/>
      <c r="AE56" s="47"/>
      <c r="AF56" s="47"/>
      <c r="AG56" s="47"/>
      <c r="AH56" s="47"/>
      <c r="AI56" s="47"/>
      <c r="AJ56" s="47"/>
      <c r="AK56" s="47"/>
      <c r="AL56" s="47"/>
      <c r="AM56" s="47"/>
      <c r="AN56" s="47"/>
      <c r="AO56" s="47"/>
      <c r="AP56" s="47"/>
      <c r="AQ56" s="47"/>
      <c r="AR56" s="47"/>
      <c r="AS56" s="47"/>
      <c r="AT56" s="47"/>
      <c r="AU56" s="47"/>
      <c r="AV56" s="47"/>
      <c r="AW56" s="47"/>
      <c r="AX56" s="49"/>
      <c r="AY56"/>
      <c r="AZ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</row>
    <row r="57" spans="1:227" ht="3.9" customHeight="1" x14ac:dyDescent="0.25">
      <c r="C57" s="8"/>
      <c r="D57" s="8"/>
      <c r="E57" s="9" t="s">
        <v>9</v>
      </c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  <c r="AF57" s="22"/>
      <c r="AG57" s="22"/>
      <c r="AH57" s="22"/>
      <c r="AI57" s="22"/>
      <c r="AJ57" s="22"/>
      <c r="AK57" s="44"/>
      <c r="AY57"/>
      <c r="AZ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</row>
    <row r="58" spans="1:227" ht="11.1" customHeight="1" x14ac:dyDescent="0.25">
      <c r="C58" s="8"/>
      <c r="D58" s="8"/>
      <c r="G58" s="315" t="s">
        <v>10</v>
      </c>
      <c r="H58" s="316"/>
      <c r="I58" s="316"/>
      <c r="J58" s="316"/>
      <c r="K58" s="316"/>
      <c r="L58" s="316"/>
      <c r="M58" s="316"/>
      <c r="N58" s="316"/>
      <c r="O58" s="316"/>
      <c r="P58" s="316"/>
      <c r="Q58" s="316"/>
      <c r="R58" s="316"/>
      <c r="S58" s="316"/>
      <c r="T58" s="316"/>
      <c r="U58" s="316"/>
      <c r="V58" s="316"/>
      <c r="W58" s="316"/>
      <c r="X58" s="317"/>
      <c r="Y58" s="315" t="s">
        <v>69</v>
      </c>
      <c r="Z58" s="316"/>
      <c r="AA58" s="316"/>
      <c r="AB58" s="316"/>
      <c r="AC58" s="316"/>
      <c r="AD58" s="316"/>
      <c r="AE58" s="316"/>
      <c r="AF58" s="316"/>
      <c r="AG58" s="316"/>
      <c r="AH58" s="316"/>
      <c r="AI58" s="316"/>
      <c r="AJ58" s="317"/>
      <c r="AK58" s="315" t="s">
        <v>477</v>
      </c>
      <c r="AL58" s="316"/>
      <c r="AM58" s="316"/>
      <c r="AN58" s="316"/>
      <c r="AO58" s="316"/>
      <c r="AP58" s="317"/>
      <c r="AQ58" s="315" t="s">
        <v>11</v>
      </c>
      <c r="AR58" s="316"/>
      <c r="AS58" s="316"/>
      <c r="AT58" s="316"/>
      <c r="AU58" s="316"/>
      <c r="AV58" s="316"/>
      <c r="AW58" s="317"/>
      <c r="AY58"/>
      <c r="AZ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</row>
    <row r="59" spans="1:227" ht="11.1" customHeight="1" x14ac:dyDescent="0.25">
      <c r="C59" s="8"/>
      <c r="D59" s="8"/>
      <c r="G59" s="449">
        <f>Proposta_Constr_Individual!G44</f>
        <v>0</v>
      </c>
      <c r="H59" s="449"/>
      <c r="I59" s="449"/>
      <c r="J59" s="449"/>
      <c r="K59" s="449"/>
      <c r="L59" s="449"/>
      <c r="M59" s="449"/>
      <c r="N59" s="449"/>
      <c r="O59" s="449"/>
      <c r="P59" s="449"/>
      <c r="Q59" s="449"/>
      <c r="R59" s="449"/>
      <c r="S59" s="449"/>
      <c r="T59" s="449"/>
      <c r="U59" s="449"/>
      <c r="V59" s="449"/>
      <c r="W59" s="449"/>
      <c r="X59" s="449"/>
      <c r="Y59" s="446">
        <f>Proposta_Constr_Individual!Y44</f>
        <v>0</v>
      </c>
      <c r="Z59" s="447"/>
      <c r="AA59" s="447"/>
      <c r="AB59" s="447"/>
      <c r="AC59" s="447"/>
      <c r="AD59" s="447"/>
      <c r="AE59" s="447"/>
      <c r="AF59" s="447"/>
      <c r="AG59" s="447"/>
      <c r="AH59" s="447"/>
      <c r="AI59" s="447"/>
      <c r="AJ59" s="448"/>
      <c r="AK59" s="530">
        <f>Proposta_Constr_Individual!AK44</f>
        <v>0</v>
      </c>
      <c r="AL59" s="531"/>
      <c r="AM59" s="531"/>
      <c r="AN59" s="531"/>
      <c r="AO59" s="531"/>
      <c r="AP59" s="532"/>
      <c r="AQ59" s="528">
        <f>Proposta_Constr_Individual!AQ44</f>
        <v>0</v>
      </c>
      <c r="AR59" s="529"/>
      <c r="AS59" s="444">
        <f>Proposta_Constr_Individual!AS44</f>
        <v>0</v>
      </c>
      <c r="AT59" s="444"/>
      <c r="AU59" s="444"/>
      <c r="AV59" s="444"/>
      <c r="AW59" s="445"/>
      <c r="AY59"/>
      <c r="AZ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</row>
    <row r="60" spans="1:227" ht="3.9" customHeight="1" x14ac:dyDescent="0.25">
      <c r="C60" s="8"/>
      <c r="D60" s="8"/>
      <c r="G60" s="50"/>
      <c r="H60" s="50"/>
      <c r="I60" s="50"/>
      <c r="J60" s="50"/>
      <c r="K60" s="50"/>
      <c r="L60" s="50"/>
      <c r="M60" s="50"/>
      <c r="N60" s="50"/>
      <c r="O60" s="50"/>
      <c r="P60" s="50"/>
      <c r="Q60" s="50"/>
      <c r="R60" s="50"/>
      <c r="S60" s="50"/>
      <c r="T60" s="50"/>
      <c r="U60" s="50"/>
      <c r="V60" s="50"/>
      <c r="W60" s="50"/>
      <c r="X60" s="50"/>
      <c r="AB60" s="50"/>
      <c r="AC60" s="50"/>
      <c r="AD60" s="50"/>
      <c r="AE60" s="50"/>
      <c r="AF60" s="50"/>
      <c r="AG60" s="50"/>
      <c r="AH60" s="50"/>
      <c r="AI60" s="50"/>
      <c r="AJ60" s="50"/>
      <c r="AK60" s="50"/>
      <c r="AL60" s="51"/>
      <c r="AM60" s="51"/>
      <c r="AN60" s="52"/>
      <c r="AO60" s="52"/>
      <c r="AP60" s="52"/>
      <c r="AQ60" s="52"/>
      <c r="AR60" s="52"/>
      <c r="AS60" s="52"/>
      <c r="AT60" s="52"/>
      <c r="AU60" s="52"/>
      <c r="AV60" s="52"/>
      <c r="AW60" s="52"/>
      <c r="AX60" s="11"/>
      <c r="AY60"/>
      <c r="AZ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</row>
    <row r="61" spans="1:227" ht="11.1" customHeight="1" x14ac:dyDescent="0.25">
      <c r="C61" s="8"/>
      <c r="D61" s="8"/>
      <c r="G61" s="315" t="s">
        <v>331</v>
      </c>
      <c r="H61" s="316"/>
      <c r="I61" s="316"/>
      <c r="J61" s="316"/>
      <c r="K61" s="316"/>
      <c r="L61" s="316"/>
      <c r="M61" s="316"/>
      <c r="N61" s="316"/>
      <c r="O61" s="316"/>
      <c r="P61" s="317"/>
      <c r="Q61" s="315" t="s">
        <v>213</v>
      </c>
      <c r="R61" s="316"/>
      <c r="S61" s="316"/>
      <c r="T61" s="316"/>
      <c r="U61" s="316"/>
      <c r="V61" s="316"/>
      <c r="W61" s="316"/>
      <c r="X61" s="316"/>
      <c r="Y61" s="316"/>
      <c r="Z61" s="316"/>
      <c r="AA61" s="317"/>
      <c r="AB61" s="315" t="s">
        <v>214</v>
      </c>
      <c r="AC61" s="316"/>
      <c r="AD61" s="316"/>
      <c r="AE61" s="316"/>
      <c r="AF61" s="316"/>
      <c r="AG61" s="316"/>
      <c r="AH61" s="317"/>
      <c r="AI61" s="209" t="s">
        <v>12</v>
      </c>
      <c r="AJ61" s="211"/>
      <c r="AK61" s="315" t="s">
        <v>215</v>
      </c>
      <c r="AL61" s="316"/>
      <c r="AM61" s="316"/>
      <c r="AN61" s="316"/>
      <c r="AO61" s="316"/>
      <c r="AP61" s="317"/>
      <c r="AQ61" s="315" t="s">
        <v>216</v>
      </c>
      <c r="AR61" s="316"/>
      <c r="AS61" s="316"/>
      <c r="AT61" s="316"/>
      <c r="AU61" s="316"/>
      <c r="AV61" s="316"/>
      <c r="AW61" s="317"/>
      <c r="AY61"/>
      <c r="AZ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</row>
    <row r="62" spans="1:227" ht="11.1" customHeight="1" x14ac:dyDescent="0.25">
      <c r="C62" s="8"/>
      <c r="D62" s="8"/>
      <c r="G62" s="449">
        <f>Proposta_Constr_Individual!G47</f>
        <v>0</v>
      </c>
      <c r="H62" s="449"/>
      <c r="I62" s="449"/>
      <c r="J62" s="449"/>
      <c r="K62" s="449"/>
      <c r="L62" s="449"/>
      <c r="M62" s="449"/>
      <c r="N62" s="449"/>
      <c r="O62" s="449"/>
      <c r="P62" s="449"/>
      <c r="Q62" s="734">
        <f>Proposta_Constr_Individual!Q47</f>
        <v>0</v>
      </c>
      <c r="R62" s="734"/>
      <c r="S62" s="734"/>
      <c r="T62" s="734"/>
      <c r="U62" s="734"/>
      <c r="V62" s="734"/>
      <c r="W62" s="734"/>
      <c r="X62" s="734"/>
      <c r="Y62" s="734"/>
      <c r="Z62" s="734"/>
      <c r="AA62" s="734"/>
      <c r="AB62" s="652">
        <f>Proposta_Constr_Individual!AB47</f>
        <v>0</v>
      </c>
      <c r="AC62" s="652"/>
      <c r="AD62" s="652"/>
      <c r="AE62" s="652"/>
      <c r="AF62" s="652"/>
      <c r="AG62" s="652"/>
      <c r="AH62" s="735"/>
      <c r="AI62" s="528">
        <f>Proposta_Constr_Individual!AI47</f>
        <v>0</v>
      </c>
      <c r="AJ62" s="529"/>
      <c r="AK62" s="530">
        <f>Proposta_Constr_Individual!AK47</f>
        <v>0</v>
      </c>
      <c r="AL62" s="531"/>
      <c r="AM62" s="531"/>
      <c r="AN62" s="531"/>
      <c r="AO62" s="531"/>
      <c r="AP62" s="532"/>
      <c r="AQ62" s="528">
        <f>Proposta_Constr_Individual!AQ47</f>
        <v>0</v>
      </c>
      <c r="AR62" s="529"/>
      <c r="AS62" s="444">
        <f>Proposta_Constr_Individual!AS47</f>
        <v>0</v>
      </c>
      <c r="AT62" s="444"/>
      <c r="AU62" s="444"/>
      <c r="AV62" s="444"/>
      <c r="AW62" s="445"/>
      <c r="AY62"/>
      <c r="AZ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</row>
    <row r="63" spans="1:227" ht="3.9" customHeight="1" x14ac:dyDescent="0.25">
      <c r="C63" s="8"/>
      <c r="D63" s="8"/>
      <c r="G63" s="50"/>
      <c r="H63" s="50"/>
      <c r="I63" s="50"/>
      <c r="J63" s="50"/>
      <c r="K63" s="50"/>
      <c r="L63" s="50"/>
      <c r="M63" s="50"/>
      <c r="N63" s="50"/>
      <c r="O63" s="50"/>
      <c r="P63" s="50"/>
      <c r="Q63" s="50"/>
      <c r="R63" s="50"/>
      <c r="S63" s="50"/>
      <c r="T63" s="50"/>
      <c r="U63" s="50"/>
      <c r="V63" s="50"/>
      <c r="W63" s="50"/>
      <c r="X63" s="50"/>
      <c r="Y63" s="50"/>
      <c r="Z63" s="50"/>
      <c r="AA63" s="50"/>
      <c r="AB63" s="50"/>
      <c r="AC63" s="50"/>
      <c r="AD63" s="50"/>
      <c r="AE63" s="50"/>
      <c r="AF63" s="50"/>
      <c r="AG63" s="50"/>
      <c r="AH63" s="50"/>
      <c r="AI63" s="50"/>
      <c r="AJ63" s="50"/>
      <c r="AK63" s="51"/>
      <c r="AL63" s="52"/>
      <c r="AM63" s="52"/>
      <c r="AN63" s="52"/>
      <c r="AO63" s="52"/>
      <c r="AP63" s="52"/>
      <c r="AQ63" s="52"/>
      <c r="AR63" s="52"/>
      <c r="AS63" s="52"/>
      <c r="AT63" s="52"/>
      <c r="AU63" s="52"/>
      <c r="AV63" s="52"/>
      <c r="AW63" s="52"/>
      <c r="AX63" s="11"/>
      <c r="AY63"/>
      <c r="AZ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</row>
    <row r="64" spans="1:227" ht="11.1" customHeight="1" x14ac:dyDescent="0.25">
      <c r="C64" s="8"/>
      <c r="D64" s="8"/>
      <c r="G64" s="315" t="s">
        <v>332</v>
      </c>
      <c r="H64" s="316"/>
      <c r="I64" s="316"/>
      <c r="J64" s="316"/>
      <c r="K64" s="316"/>
      <c r="L64" s="316"/>
      <c r="M64" s="316"/>
      <c r="N64" s="316"/>
      <c r="O64" s="316"/>
      <c r="P64" s="317"/>
      <c r="Q64" s="315" t="s">
        <v>217</v>
      </c>
      <c r="R64" s="316"/>
      <c r="S64" s="316"/>
      <c r="T64" s="316"/>
      <c r="U64" s="316"/>
      <c r="V64" s="316"/>
      <c r="W64" s="316"/>
      <c r="X64" s="316"/>
      <c r="Y64" s="316"/>
      <c r="Z64" s="316"/>
      <c r="AA64" s="317"/>
      <c r="AB64" s="315" t="s">
        <v>218</v>
      </c>
      <c r="AC64" s="316"/>
      <c r="AD64" s="316"/>
      <c r="AE64" s="316"/>
      <c r="AF64" s="316"/>
      <c r="AG64" s="316"/>
      <c r="AH64" s="317"/>
      <c r="AI64" s="209" t="s">
        <v>12</v>
      </c>
      <c r="AJ64" s="211"/>
      <c r="AK64" s="315" t="s">
        <v>219</v>
      </c>
      <c r="AL64" s="316"/>
      <c r="AM64" s="316"/>
      <c r="AN64" s="316"/>
      <c r="AO64" s="316"/>
      <c r="AP64" s="317"/>
      <c r="AQ64" s="315" t="s">
        <v>220</v>
      </c>
      <c r="AR64" s="316"/>
      <c r="AS64" s="316"/>
      <c r="AT64" s="316"/>
      <c r="AU64" s="316"/>
      <c r="AV64" s="316"/>
      <c r="AW64" s="317"/>
      <c r="AY64"/>
      <c r="AZ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</row>
    <row r="65" spans="1:227" ht="11.1" customHeight="1" x14ac:dyDescent="0.25">
      <c r="C65" s="8"/>
      <c r="D65" s="8"/>
      <c r="G65" s="449">
        <f>Proposta_Constr_Individual!G50</f>
        <v>0</v>
      </c>
      <c r="H65" s="449"/>
      <c r="I65" s="449"/>
      <c r="J65" s="449"/>
      <c r="K65" s="449"/>
      <c r="L65" s="449"/>
      <c r="M65" s="449"/>
      <c r="N65" s="449"/>
      <c r="O65" s="449"/>
      <c r="P65" s="449"/>
      <c r="Q65" s="734">
        <f>Proposta_Constr_Individual!Q50</f>
        <v>0</v>
      </c>
      <c r="R65" s="734"/>
      <c r="S65" s="734"/>
      <c r="T65" s="734"/>
      <c r="U65" s="734"/>
      <c r="V65" s="734"/>
      <c r="W65" s="734"/>
      <c r="X65" s="734"/>
      <c r="Y65" s="734"/>
      <c r="Z65" s="734"/>
      <c r="AA65" s="734"/>
      <c r="AB65" s="652">
        <f>Proposta_Constr_Individual!AB50</f>
        <v>0</v>
      </c>
      <c r="AC65" s="652"/>
      <c r="AD65" s="652"/>
      <c r="AE65" s="652"/>
      <c r="AF65" s="652"/>
      <c r="AG65" s="652"/>
      <c r="AH65" s="735"/>
      <c r="AI65" s="528">
        <f>Proposta_Constr_Individual!AI50</f>
        <v>0</v>
      </c>
      <c r="AJ65" s="529"/>
      <c r="AK65" s="530">
        <f>Proposta_Constr_Individual!AK50</f>
        <v>0</v>
      </c>
      <c r="AL65" s="531"/>
      <c r="AM65" s="531"/>
      <c r="AN65" s="531"/>
      <c r="AO65" s="531"/>
      <c r="AP65" s="532"/>
      <c r="AQ65" s="528">
        <f>Proposta_Constr_Individual!AQ50</f>
        <v>0</v>
      </c>
      <c r="AR65" s="529"/>
      <c r="AS65" s="444">
        <f>Proposta_Constr_Individual!AS50</f>
        <v>0</v>
      </c>
      <c r="AT65" s="444"/>
      <c r="AU65" s="444"/>
      <c r="AV65" s="444"/>
      <c r="AW65" s="445"/>
      <c r="AY65"/>
      <c r="AZ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</row>
    <row r="66" spans="1:227" ht="3.9" customHeight="1" x14ac:dyDescent="0.25">
      <c r="C66" s="8"/>
      <c r="D66" s="8"/>
      <c r="G66" s="50"/>
      <c r="H66" s="50"/>
      <c r="I66" s="50"/>
      <c r="J66" s="50"/>
      <c r="K66" s="50"/>
      <c r="L66" s="50"/>
      <c r="M66" s="50"/>
      <c r="N66" s="50"/>
      <c r="O66" s="50"/>
      <c r="P66" s="50"/>
      <c r="Q66" s="50"/>
      <c r="R66" s="50"/>
      <c r="S66" s="50"/>
      <c r="T66" s="50"/>
      <c r="U66" s="50"/>
      <c r="V66" s="50"/>
      <c r="W66" s="50"/>
      <c r="X66" s="50"/>
      <c r="Y66" s="50"/>
      <c r="Z66" s="50"/>
      <c r="AA66" s="50"/>
      <c r="AB66" s="50"/>
      <c r="AC66" s="50"/>
      <c r="AD66" s="50"/>
      <c r="AE66" s="50"/>
      <c r="AF66" s="50"/>
      <c r="AG66" s="50"/>
      <c r="AH66" s="50"/>
      <c r="AI66" s="50"/>
      <c r="AJ66" s="50"/>
      <c r="AK66" s="51"/>
      <c r="AL66" s="52"/>
      <c r="AM66" s="52"/>
      <c r="AN66" s="52"/>
      <c r="AO66" s="52"/>
      <c r="AP66" s="52"/>
      <c r="AQ66" s="52"/>
      <c r="AR66" s="52"/>
      <c r="AS66" s="52"/>
      <c r="AT66" s="52"/>
      <c r="AU66" s="52"/>
      <c r="AV66" s="52"/>
      <c r="AW66" s="52"/>
      <c r="AX66" s="11"/>
      <c r="AY66"/>
      <c r="AZ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</row>
    <row r="67" spans="1:227" ht="11.1" customHeight="1" x14ac:dyDescent="0.25">
      <c r="C67" s="8"/>
      <c r="D67" s="8"/>
      <c r="G67" s="731" t="s">
        <v>283</v>
      </c>
      <c r="H67" s="732"/>
      <c r="I67" s="732"/>
      <c r="J67" s="732"/>
      <c r="K67" s="732"/>
      <c r="L67" s="732"/>
      <c r="M67" s="732"/>
      <c r="N67" s="732"/>
      <c r="O67" s="732"/>
      <c r="P67" s="732"/>
      <c r="Q67" s="732"/>
      <c r="R67" s="732"/>
      <c r="S67" s="732"/>
      <c r="T67" s="732"/>
      <c r="U67" s="732"/>
      <c r="V67" s="732"/>
      <c r="W67" s="732"/>
      <c r="X67" s="732"/>
      <c r="Y67" s="732"/>
      <c r="Z67" s="732"/>
      <c r="AA67" s="732"/>
      <c r="AB67" s="732"/>
      <c r="AC67" s="732"/>
      <c r="AD67" s="732"/>
      <c r="AE67" s="732"/>
      <c r="AF67" s="732"/>
      <c r="AG67" s="732"/>
      <c r="AH67" s="732"/>
      <c r="AI67" s="732"/>
      <c r="AJ67" s="732"/>
      <c r="AK67" s="732"/>
      <c r="AL67" s="732"/>
      <c r="AM67" s="732"/>
      <c r="AN67" s="732"/>
      <c r="AO67" s="732"/>
      <c r="AP67" s="732"/>
      <c r="AQ67" s="732"/>
      <c r="AR67" s="732"/>
      <c r="AS67" s="732"/>
      <c r="AT67" s="732"/>
      <c r="AU67" s="732"/>
      <c r="AV67" s="732"/>
      <c r="AW67" s="733"/>
      <c r="AY67"/>
      <c r="AZ67"/>
      <c r="BJ67"/>
      <c r="BK67"/>
      <c r="BL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</row>
    <row r="68" spans="1:227" ht="11.1" customHeight="1" x14ac:dyDescent="0.25">
      <c r="C68" s="8"/>
      <c r="D68" s="8"/>
      <c r="G68" s="511" t="s">
        <v>60</v>
      </c>
      <c r="H68" s="512"/>
      <c r="I68" s="512"/>
      <c r="J68" s="512"/>
      <c r="K68" s="512"/>
      <c r="L68" s="512"/>
      <c r="M68" s="512"/>
      <c r="N68" s="512"/>
      <c r="O68" s="512"/>
      <c r="P68" s="512"/>
      <c r="Q68" s="512"/>
      <c r="R68" s="512"/>
      <c r="S68" s="512"/>
      <c r="T68" s="512"/>
      <c r="U68" s="512"/>
      <c r="V68" s="512"/>
      <c r="W68" s="512"/>
      <c r="X68" s="512"/>
      <c r="Y68" s="512"/>
      <c r="Z68" s="512"/>
      <c r="AA68" s="512"/>
      <c r="AB68" s="512"/>
      <c r="AC68" s="512"/>
      <c r="AD68" s="512"/>
      <c r="AE68" s="512"/>
      <c r="AF68" s="512"/>
      <c r="AG68" s="512"/>
      <c r="AH68" s="512"/>
      <c r="AI68" s="513"/>
      <c r="AJ68" s="511" t="s">
        <v>13</v>
      </c>
      <c r="AK68" s="512"/>
      <c r="AL68" s="512"/>
      <c r="AM68" s="512"/>
      <c r="AN68" s="512"/>
      <c r="AO68" s="512"/>
      <c r="AP68" s="512"/>
      <c r="AQ68" s="512"/>
      <c r="AR68" s="512"/>
      <c r="AS68" s="512"/>
      <c r="AT68" s="512"/>
      <c r="AU68" s="512"/>
      <c r="AV68" s="512"/>
      <c r="AW68" s="513"/>
      <c r="AY68"/>
      <c r="AZ68"/>
      <c r="BJ68"/>
      <c r="BK68"/>
      <c r="BL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</row>
    <row r="69" spans="1:227" ht="11.1" customHeight="1" x14ac:dyDescent="0.25">
      <c r="C69" s="8"/>
      <c r="D69" s="8"/>
      <c r="G69" s="652">
        <f>Proposta_Constr_Individual!G54</f>
        <v>0</v>
      </c>
      <c r="H69" s="652"/>
      <c r="I69" s="652"/>
      <c r="J69" s="652"/>
      <c r="K69" s="652"/>
      <c r="L69" s="652"/>
      <c r="M69" s="652"/>
      <c r="N69" s="652"/>
      <c r="O69" s="652"/>
      <c r="P69" s="652"/>
      <c r="Q69" s="652"/>
      <c r="R69" s="652"/>
      <c r="S69" s="652"/>
      <c r="T69" s="652"/>
      <c r="U69" s="652"/>
      <c r="V69" s="652"/>
      <c r="W69" s="652"/>
      <c r="X69" s="652"/>
      <c r="Y69" s="652"/>
      <c r="Z69" s="652"/>
      <c r="AA69" s="652"/>
      <c r="AB69" s="652"/>
      <c r="AC69" s="652"/>
      <c r="AD69" s="652"/>
      <c r="AE69" s="652"/>
      <c r="AF69" s="652"/>
      <c r="AG69" s="652"/>
      <c r="AH69" s="652"/>
      <c r="AI69" s="652"/>
      <c r="AJ69" s="652">
        <f>Proposta_Constr_Individual!AJ54</f>
        <v>0</v>
      </c>
      <c r="AK69" s="652"/>
      <c r="AL69" s="652"/>
      <c r="AM69" s="652"/>
      <c r="AN69" s="652"/>
      <c r="AO69" s="652"/>
      <c r="AP69" s="652"/>
      <c r="AQ69" s="652"/>
      <c r="AR69" s="652"/>
      <c r="AS69" s="652"/>
      <c r="AT69" s="652"/>
      <c r="AU69" s="652"/>
      <c r="AV69" s="652"/>
      <c r="AW69" s="652"/>
      <c r="AY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</row>
    <row r="70" spans="1:227" ht="11.1" customHeight="1" x14ac:dyDescent="0.25">
      <c r="C70" s="8"/>
      <c r="D70" s="8"/>
      <c r="G70" s="511" t="s">
        <v>14</v>
      </c>
      <c r="H70" s="512"/>
      <c r="I70" s="512"/>
      <c r="J70" s="512"/>
      <c r="K70" s="512"/>
      <c r="L70" s="512"/>
      <c r="M70" s="512"/>
      <c r="N70" s="512"/>
      <c r="O70" s="512"/>
      <c r="P70" s="512"/>
      <c r="Q70" s="512"/>
      <c r="R70" s="512"/>
      <c r="S70" s="512"/>
      <c r="T70" s="512"/>
      <c r="U70" s="513"/>
      <c r="V70" s="334" t="s">
        <v>15</v>
      </c>
      <c r="W70" s="237"/>
      <c r="X70" s="237"/>
      <c r="Y70" s="237"/>
      <c r="Z70" s="238"/>
      <c r="AA70" s="334" t="s">
        <v>16</v>
      </c>
      <c r="AB70" s="237"/>
      <c r="AC70" s="237"/>
      <c r="AD70" s="237"/>
      <c r="AE70" s="237"/>
      <c r="AF70" s="237"/>
      <c r="AG70" s="237"/>
      <c r="AH70" s="237"/>
      <c r="AI70" s="237"/>
      <c r="AJ70" s="237"/>
      <c r="AK70" s="237"/>
      <c r="AL70" s="237"/>
      <c r="AM70" s="237"/>
      <c r="AN70" s="237"/>
      <c r="AO70" s="237"/>
      <c r="AP70" s="237"/>
      <c r="AQ70" s="237"/>
      <c r="AR70" s="237"/>
      <c r="AS70" s="237"/>
      <c r="AT70" s="237"/>
      <c r="AU70" s="238"/>
      <c r="AV70" s="209" t="s">
        <v>12</v>
      </c>
      <c r="AW70" s="211"/>
      <c r="AX70" s="11"/>
      <c r="AY70" s="11"/>
      <c r="BJ70"/>
      <c r="BK70"/>
      <c r="BL70"/>
    </row>
    <row r="71" spans="1:227" ht="11.1" customHeight="1" x14ac:dyDescent="0.25">
      <c r="C71" s="8"/>
      <c r="D71" s="8"/>
      <c r="G71" s="449">
        <f>Proposta_Constr_Individual!G56</f>
        <v>0</v>
      </c>
      <c r="H71" s="449"/>
      <c r="I71" s="449"/>
      <c r="J71" s="449"/>
      <c r="K71" s="449"/>
      <c r="L71" s="449"/>
      <c r="M71" s="449"/>
      <c r="N71" s="449"/>
      <c r="O71" s="449"/>
      <c r="P71" s="449"/>
      <c r="Q71" s="449"/>
      <c r="R71" s="449"/>
      <c r="S71" s="449"/>
      <c r="T71" s="449"/>
      <c r="U71" s="449"/>
      <c r="V71" s="535">
        <f>Proposta_Constr_Individual!V56</f>
        <v>0</v>
      </c>
      <c r="W71" s="535"/>
      <c r="X71" s="535"/>
      <c r="Y71" s="535"/>
      <c r="Z71" s="535"/>
      <c r="AA71" s="449">
        <f>Proposta_Constr_Individual!AA56</f>
        <v>0</v>
      </c>
      <c r="AB71" s="449"/>
      <c r="AC71" s="449"/>
      <c r="AD71" s="449"/>
      <c r="AE71" s="449"/>
      <c r="AF71" s="449"/>
      <c r="AG71" s="449"/>
      <c r="AH71" s="449"/>
      <c r="AI71" s="449"/>
      <c r="AJ71" s="449"/>
      <c r="AK71" s="449"/>
      <c r="AL71" s="449"/>
      <c r="AM71" s="449"/>
      <c r="AN71" s="449"/>
      <c r="AO71" s="449"/>
      <c r="AP71" s="449"/>
      <c r="AQ71" s="449"/>
      <c r="AR71" s="449"/>
      <c r="AS71" s="449"/>
      <c r="AT71" s="449"/>
      <c r="AU71" s="449"/>
      <c r="AV71" s="528">
        <f>Proposta_Constr_Individual!AV56</f>
        <v>0</v>
      </c>
      <c r="AW71" s="529"/>
      <c r="AX71" s="11"/>
      <c r="AY71" s="11"/>
      <c r="BJ71"/>
      <c r="BK71"/>
      <c r="BL71"/>
    </row>
    <row r="72" spans="1:227" ht="11.1" customHeight="1" x14ac:dyDescent="0.25">
      <c r="C72" s="8"/>
      <c r="D72" s="8"/>
      <c r="G72" s="334" t="s">
        <v>17</v>
      </c>
      <c r="H72" s="237"/>
      <c r="I72" s="237"/>
      <c r="J72" s="237"/>
      <c r="K72" s="237"/>
      <c r="L72" s="238"/>
      <c r="M72" s="334" t="s">
        <v>452</v>
      </c>
      <c r="N72" s="237"/>
      <c r="O72" s="237"/>
      <c r="P72" s="237"/>
      <c r="Q72" s="237"/>
      <c r="R72" s="237"/>
      <c r="S72" s="238"/>
      <c r="T72" s="511" t="s">
        <v>78</v>
      </c>
      <c r="U72" s="512"/>
      <c r="V72" s="512"/>
      <c r="W72" s="512"/>
      <c r="X72" s="512"/>
      <c r="Y72" s="512"/>
      <c r="Z72" s="512"/>
      <c r="AA72" s="512"/>
      <c r="AB72" s="512"/>
      <c r="AC72" s="513"/>
      <c r="AD72" s="315" t="s">
        <v>72</v>
      </c>
      <c r="AE72" s="316"/>
      <c r="AF72" s="316"/>
      <c r="AG72" s="316"/>
      <c r="AH72" s="316"/>
      <c r="AI72" s="316"/>
      <c r="AJ72" s="317"/>
      <c r="AK72" s="315" t="s">
        <v>73</v>
      </c>
      <c r="AL72" s="316"/>
      <c r="AM72" s="316"/>
      <c r="AN72" s="316"/>
      <c r="AO72" s="316"/>
      <c r="AP72" s="317"/>
      <c r="AQ72" s="315" t="s">
        <v>333</v>
      </c>
      <c r="AR72" s="316"/>
      <c r="AS72" s="316"/>
      <c r="AT72" s="316"/>
      <c r="AU72" s="316"/>
      <c r="AV72" s="316"/>
      <c r="AW72" s="317"/>
      <c r="BJ72"/>
      <c r="BK72"/>
      <c r="BL72"/>
    </row>
    <row r="73" spans="1:227" ht="11.1" customHeight="1" x14ac:dyDescent="0.25">
      <c r="C73" s="8"/>
      <c r="D73" s="8"/>
      <c r="G73" s="652">
        <f>Proposta_Constr_Individual!G58</f>
        <v>0</v>
      </c>
      <c r="H73" s="652"/>
      <c r="I73" s="652"/>
      <c r="J73" s="652"/>
      <c r="K73" s="652"/>
      <c r="L73" s="652"/>
      <c r="M73" s="652">
        <f>Proposta_Constr_Individual!M58</f>
        <v>0</v>
      </c>
      <c r="N73" s="652"/>
      <c r="O73" s="652"/>
      <c r="P73" s="652"/>
      <c r="Q73" s="652"/>
      <c r="R73" s="652"/>
      <c r="S73" s="652"/>
      <c r="T73" s="730">
        <f>Proposta_Constr_Individual!T58</f>
        <v>0</v>
      </c>
      <c r="U73" s="730"/>
      <c r="V73" s="730"/>
      <c r="W73" s="730"/>
      <c r="X73" s="195">
        <f>Proposta_Constr_Individual!X58</f>
        <v>0</v>
      </c>
      <c r="Y73" s="730">
        <f>Proposta_Constr_Individual!Y58</f>
        <v>0</v>
      </c>
      <c r="Z73" s="730"/>
      <c r="AA73" s="730"/>
      <c r="AB73" s="730"/>
      <c r="AC73" s="126" t="s">
        <v>221</v>
      </c>
      <c r="AD73" s="652">
        <f>Proposta_Constr_Individual!AD58</f>
        <v>0</v>
      </c>
      <c r="AE73" s="652"/>
      <c r="AF73" s="652"/>
      <c r="AG73" s="652"/>
      <c r="AH73" s="652"/>
      <c r="AI73" s="652"/>
      <c r="AJ73" s="652"/>
      <c r="AK73" s="555">
        <f>Proposta_Constr_Individual!AK58</f>
        <v>0</v>
      </c>
      <c r="AL73" s="555"/>
      <c r="AM73" s="555"/>
      <c r="AN73" s="555"/>
      <c r="AO73" s="555"/>
      <c r="AP73" s="555"/>
      <c r="AQ73" s="530">
        <f>Proposta_Constr_Individual!AQ58</f>
        <v>0</v>
      </c>
      <c r="AR73" s="531"/>
      <c r="AS73" s="531"/>
      <c r="AT73" s="531"/>
      <c r="AU73" s="531"/>
      <c r="AV73" s="531"/>
      <c r="AW73" s="532"/>
      <c r="AY73" s="53"/>
      <c r="BA73" s="11"/>
      <c r="BB73" s="698" t="s">
        <v>61</v>
      </c>
      <c r="BC73" s="699"/>
      <c r="BD73" s="700"/>
      <c r="BE73" s="700"/>
      <c r="BF73" s="701"/>
      <c r="BH73" s="702" t="s">
        <v>375</v>
      </c>
      <c r="BI73" s="703"/>
    </row>
    <row r="74" spans="1:227" s="42" customFormat="1" ht="3.9" customHeight="1" x14ac:dyDescent="0.25">
      <c r="A74" s="8"/>
      <c r="B74" s="8"/>
      <c r="C74" s="8"/>
      <c r="D74" s="8"/>
      <c r="E74" s="9" t="s">
        <v>24</v>
      </c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Z74"/>
      <c r="BA74"/>
      <c r="BB74"/>
      <c r="BC74"/>
      <c r="BD74"/>
      <c r="BE74"/>
      <c r="BF74"/>
      <c r="BG74"/>
      <c r="BH74"/>
      <c r="BI74" s="12"/>
      <c r="BJ74" s="12"/>
      <c r="BK74"/>
      <c r="BL74"/>
      <c r="BM74"/>
      <c r="BN74"/>
    </row>
    <row r="75" spans="1:227" ht="11.1" customHeight="1" thickBot="1" x14ac:dyDescent="0.3">
      <c r="C75" s="8"/>
      <c r="D75" s="8"/>
      <c r="F75" s="47"/>
      <c r="G75" s="48" t="s">
        <v>376</v>
      </c>
      <c r="H75" s="47"/>
      <c r="I75" s="47"/>
      <c r="J75" s="47"/>
      <c r="K75" s="47"/>
      <c r="L75" s="47"/>
      <c r="M75" s="47"/>
      <c r="N75" s="47"/>
      <c r="O75" s="47"/>
      <c r="P75" s="47"/>
      <c r="Q75" s="47"/>
      <c r="R75" s="47"/>
      <c r="S75" s="47"/>
      <c r="T75" s="47"/>
      <c r="U75" s="47"/>
      <c r="V75" s="47"/>
      <c r="W75" s="47"/>
      <c r="X75" s="47"/>
      <c r="Y75" s="47"/>
      <c r="Z75" s="47"/>
      <c r="AA75" s="47"/>
      <c r="AB75" s="47"/>
      <c r="AC75" s="47"/>
      <c r="AD75" s="47"/>
      <c r="AE75" s="47"/>
      <c r="AF75" s="47"/>
      <c r="AG75" s="47"/>
      <c r="AH75" s="47"/>
      <c r="AI75" s="47"/>
      <c r="AJ75" s="47"/>
      <c r="AK75" s="47"/>
      <c r="AL75" s="47"/>
      <c r="AM75" s="47"/>
      <c r="AN75" s="47"/>
      <c r="AO75" s="47"/>
      <c r="AP75" s="47"/>
      <c r="AQ75" s="47"/>
      <c r="AR75" s="47"/>
      <c r="AS75" s="47"/>
      <c r="AT75" s="47"/>
      <c r="AU75" s="47"/>
      <c r="AV75" s="47"/>
      <c r="AW75" s="47"/>
      <c r="AX75" s="49"/>
      <c r="AZ75"/>
      <c r="BB75" s="139" t="s">
        <v>377</v>
      </c>
      <c r="BC75" s="139" t="s">
        <v>440</v>
      </c>
      <c r="BD75" s="139" t="s">
        <v>378</v>
      </c>
      <c r="BE75" s="139" t="s">
        <v>379</v>
      </c>
      <c r="BF75" s="139" t="s">
        <v>380</v>
      </c>
      <c r="BH75" s="139" t="s">
        <v>381</v>
      </c>
      <c r="BI75" s="140">
        <f>Y104</f>
        <v>0</v>
      </c>
      <c r="BJ75" s="141" t="str">
        <f ca="1">IF(NOT(ISNA(OFFSET(BE76,MATCH(BI75,BE77:BE107,0),0))),"P","V")</f>
        <v>P</v>
      </c>
      <c r="BK75"/>
      <c r="BL75"/>
      <c r="BM75"/>
      <c r="BN75"/>
    </row>
    <row r="76" spans="1:227" ht="3.9" customHeight="1" x14ac:dyDescent="0.25">
      <c r="C76" s="8"/>
      <c r="D76" s="8"/>
      <c r="E76" s="9" t="s">
        <v>9</v>
      </c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2"/>
      <c r="AG76" s="22"/>
      <c r="AH76" s="22"/>
      <c r="AI76" s="22"/>
      <c r="AJ76" s="22"/>
      <c r="AK76" s="44"/>
      <c r="AZ76" s="42"/>
      <c r="BA76" s="42"/>
      <c r="BB76" s="11"/>
      <c r="BC76" s="11"/>
      <c r="BD76" s="11"/>
      <c r="BE76" s="11"/>
      <c r="BF76" s="11"/>
      <c r="BG76" s="11"/>
      <c r="BH76" s="11"/>
      <c r="BI76" s="11"/>
      <c r="BJ76" s="42"/>
      <c r="BK76"/>
      <c r="BL76"/>
      <c r="BM76"/>
      <c r="BN76"/>
    </row>
    <row r="77" spans="1:227" ht="11.1" customHeight="1" x14ac:dyDescent="0.25">
      <c r="C77" s="8"/>
      <c r="D77" s="8"/>
      <c r="G77" s="704" t="s">
        <v>382</v>
      </c>
      <c r="H77" s="704"/>
      <c r="I77" s="704"/>
      <c r="J77" s="704"/>
      <c r="K77" s="704"/>
      <c r="L77" s="704"/>
      <c r="M77" s="704"/>
      <c r="N77" s="704"/>
      <c r="O77" s="704"/>
      <c r="P77" s="704"/>
      <c r="Q77" s="704"/>
      <c r="R77" s="704"/>
      <c r="S77" s="704"/>
      <c r="T77" s="704"/>
      <c r="U77" s="704"/>
      <c r="V77" s="704"/>
      <c r="W77" s="704"/>
      <c r="X77" s="704"/>
      <c r="Y77" s="704"/>
      <c r="Z77" s="704"/>
      <c r="AA77" s="704"/>
      <c r="AB77" s="22"/>
      <c r="AC77" s="704" t="s">
        <v>383</v>
      </c>
      <c r="AD77" s="704"/>
      <c r="AE77" s="704"/>
      <c r="AF77" s="704"/>
      <c r="AG77" s="704"/>
      <c r="AH77" s="704"/>
      <c r="AI77" s="704"/>
      <c r="AJ77" s="704"/>
      <c r="AK77" s="704"/>
      <c r="AL77" s="704"/>
      <c r="AM77" s="704"/>
      <c r="AN77" s="704"/>
      <c r="AO77" s="704"/>
      <c r="AP77" s="704"/>
      <c r="AQ77" s="704"/>
      <c r="AR77" s="704"/>
      <c r="AS77" s="704"/>
      <c r="AT77" s="704"/>
      <c r="AU77" s="704"/>
      <c r="AV77" s="704"/>
      <c r="AW77" s="704"/>
      <c r="BB77" s="142" t="s">
        <v>384</v>
      </c>
      <c r="BC77" s="199">
        <f>Proposta_Constr_Individual!AO144</f>
        <v>0</v>
      </c>
      <c r="BD77" s="143"/>
      <c r="BE77" s="144">
        <f>BD77</f>
        <v>0</v>
      </c>
      <c r="BF77" s="145">
        <f>AH79</f>
        <v>44558</v>
      </c>
      <c r="BH77" s="139" t="s">
        <v>386</v>
      </c>
      <c r="BI77" s="146">
        <f>Calculos_Cronograma!D14</f>
        <v>0</v>
      </c>
      <c r="BK77"/>
      <c r="BL77"/>
      <c r="BM77"/>
      <c r="BN77"/>
    </row>
    <row r="78" spans="1:227" ht="11.1" customHeight="1" x14ac:dyDescent="0.25">
      <c r="C78" s="8"/>
      <c r="D78" s="8"/>
      <c r="G78" s="711"/>
      <c r="H78" s="712"/>
      <c r="I78" s="712"/>
      <c r="J78" s="712"/>
      <c r="K78" s="712"/>
      <c r="L78" s="712"/>
      <c r="M78" s="712"/>
      <c r="N78" s="712"/>
      <c r="O78" s="712"/>
      <c r="P78" s="712"/>
      <c r="Q78" s="712"/>
      <c r="R78" s="712"/>
      <c r="S78" s="712"/>
      <c r="T78" s="712"/>
      <c r="U78" s="712"/>
      <c r="V78" s="712"/>
      <c r="W78" s="712"/>
      <c r="X78" s="712"/>
      <c r="Y78" s="712"/>
      <c r="Z78" s="712"/>
      <c r="AA78" s="713"/>
      <c r="AB78" s="22"/>
      <c r="AC78" s="714" t="str">
        <f>IF(AH79=0,"Necessário informar a Data da Contratação",(IF(AS79=0,"Necessário informar a Data Término Previsto",IF(AK81=0,"Necessário informar a Data do Levantamento",""))))</f>
        <v/>
      </c>
      <c r="AD78" s="715"/>
      <c r="AE78" s="715"/>
      <c r="AF78" s="715"/>
      <c r="AG78" s="715"/>
      <c r="AH78" s="715"/>
      <c r="AI78" s="715"/>
      <c r="AJ78" s="715"/>
      <c r="AK78" s="715"/>
      <c r="AL78" s="715"/>
      <c r="AM78" s="715"/>
      <c r="AN78" s="715"/>
      <c r="AO78" s="715"/>
      <c r="AP78" s="715"/>
      <c r="AQ78" s="715"/>
      <c r="AR78" s="715"/>
      <c r="AS78" s="715"/>
      <c r="AT78" s="715"/>
      <c r="AU78" s="715"/>
      <c r="AV78" s="715"/>
      <c r="AW78" s="716"/>
      <c r="BB78" s="139">
        <v>1</v>
      </c>
      <c r="BC78" s="199">
        <f>Proposta_Constr_Individual!AO145</f>
        <v>0</v>
      </c>
      <c r="BD78" s="143"/>
      <c r="BE78" s="144">
        <f>BD78+BE77</f>
        <v>0</v>
      </c>
      <c r="BF78" s="145">
        <f>IF(OR(BE78+BE77=200,BE78+BE77=0),0,DATE(YEAR(BF77),MONTH(BF77)+1,DAY(BF77)))</f>
        <v>0</v>
      </c>
      <c r="BH78" s="139" t="s">
        <v>385</v>
      </c>
      <c r="BI78" s="146">
        <f>Calculos_Cronograma!D6</f>
        <v>5</v>
      </c>
      <c r="BK78"/>
      <c r="BL78"/>
      <c r="BM78"/>
      <c r="BN78"/>
    </row>
    <row r="79" spans="1:227" ht="11.1" customHeight="1" x14ac:dyDescent="0.25">
      <c r="C79" s="8"/>
      <c r="D79" s="8"/>
      <c r="F79" s="147"/>
      <c r="G79" s="653" t="s">
        <v>29</v>
      </c>
      <c r="H79" s="653"/>
      <c r="I79" s="653"/>
      <c r="J79" s="653"/>
      <c r="K79" s="653"/>
      <c r="L79" s="653"/>
      <c r="M79" s="653"/>
      <c r="N79" s="653"/>
      <c r="O79" s="653"/>
      <c r="P79" s="653"/>
      <c r="Q79" s="653"/>
      <c r="R79" s="653"/>
      <c r="S79" s="653" t="s">
        <v>387</v>
      </c>
      <c r="T79" s="653"/>
      <c r="U79" s="653"/>
      <c r="V79" s="723" t="s">
        <v>388</v>
      </c>
      <c r="W79" s="723"/>
      <c r="X79" s="723"/>
      <c r="Y79" s="653" t="s">
        <v>389</v>
      </c>
      <c r="Z79" s="653"/>
      <c r="AA79" s="653"/>
      <c r="AB79" s="11"/>
      <c r="AC79" s="717" t="s">
        <v>469</v>
      </c>
      <c r="AD79" s="718"/>
      <c r="AE79" s="718"/>
      <c r="AF79" s="718"/>
      <c r="AG79" s="719"/>
      <c r="AH79" s="705">
        <v>44558</v>
      </c>
      <c r="AI79" s="706"/>
      <c r="AJ79" s="706"/>
      <c r="AK79" s="706"/>
      <c r="AL79" s="707"/>
      <c r="AM79" s="658" t="s">
        <v>470</v>
      </c>
      <c r="AN79" s="659"/>
      <c r="AO79" s="659"/>
      <c r="AP79" s="659"/>
      <c r="AQ79" s="659"/>
      <c r="AR79" s="660"/>
      <c r="AS79" s="705">
        <v>44770</v>
      </c>
      <c r="AT79" s="706"/>
      <c r="AU79" s="706"/>
      <c r="AV79" s="706"/>
      <c r="AW79" s="707"/>
      <c r="BB79" s="139">
        <v>2</v>
      </c>
      <c r="BC79" s="199">
        <f>Proposta_Constr_Individual!AO146</f>
        <v>0</v>
      </c>
      <c r="BD79" s="143"/>
      <c r="BE79" s="144">
        <f t="shared" ref="BE79:BE104" si="0">BD79+BE78</f>
        <v>0</v>
      </c>
      <c r="BF79" s="145">
        <f t="shared" ref="BF79:BF107" si="1">IF(OR(BE79+BE78=200,BE79+BE78=0),0,DATE(YEAR(BF78),MONTH(BF78)+1,DAY(BF78)))</f>
        <v>0</v>
      </c>
      <c r="BH79" s="139" t="s">
        <v>390</v>
      </c>
      <c r="BI79" s="155" t="e">
        <f ca="1">Calculos_Cronograma!D9/100</f>
        <v>#NAME?</v>
      </c>
      <c r="BK79"/>
      <c r="BL79"/>
      <c r="BM79"/>
      <c r="BN79"/>
    </row>
    <row r="80" spans="1:227" ht="11.1" customHeight="1" x14ac:dyDescent="0.25">
      <c r="C80" s="8"/>
      <c r="D80" s="8"/>
      <c r="F80" s="147"/>
      <c r="G80" s="653"/>
      <c r="H80" s="653"/>
      <c r="I80" s="653"/>
      <c r="J80" s="653"/>
      <c r="K80" s="653"/>
      <c r="L80" s="653"/>
      <c r="M80" s="653"/>
      <c r="N80" s="653"/>
      <c r="O80" s="653"/>
      <c r="P80" s="653"/>
      <c r="Q80" s="653"/>
      <c r="R80" s="653"/>
      <c r="S80" s="653"/>
      <c r="T80" s="653"/>
      <c r="U80" s="653"/>
      <c r="V80" s="723"/>
      <c r="W80" s="723"/>
      <c r="X80" s="723"/>
      <c r="Y80" s="653"/>
      <c r="Z80" s="653"/>
      <c r="AA80" s="653"/>
      <c r="AB80" s="11"/>
      <c r="AC80" s="720" t="str">
        <f>IF((OR(AH79=0,AS79=0,AK81=0)),"Documento inválido se os campos de Data não forem preenchidos.","")</f>
        <v/>
      </c>
      <c r="AD80" s="721"/>
      <c r="AE80" s="721"/>
      <c r="AF80" s="721"/>
      <c r="AG80" s="721"/>
      <c r="AH80" s="721"/>
      <c r="AI80" s="721"/>
      <c r="AJ80" s="721"/>
      <c r="AK80" s="721"/>
      <c r="AL80" s="721"/>
      <c r="AM80" s="721"/>
      <c r="AN80" s="721"/>
      <c r="AO80" s="721"/>
      <c r="AP80" s="721"/>
      <c r="AQ80" s="721"/>
      <c r="AR80" s="721"/>
      <c r="AS80" s="721"/>
      <c r="AT80" s="721"/>
      <c r="AU80" s="721"/>
      <c r="AV80" s="721"/>
      <c r="AW80" s="722"/>
      <c r="BB80" s="139">
        <v>3</v>
      </c>
      <c r="BC80" s="199">
        <f>Proposta_Constr_Individual!AO147</f>
        <v>0</v>
      </c>
      <c r="BD80" s="143"/>
      <c r="BE80" s="144">
        <f t="shared" si="0"/>
        <v>0</v>
      </c>
      <c r="BF80" s="145">
        <f t="shared" si="1"/>
        <v>0</v>
      </c>
      <c r="BH80" s="139" t="s">
        <v>413</v>
      </c>
      <c r="BI80" s="148" t="e">
        <f ca="1">Calculos_Cronograma!D11</f>
        <v>#NAME?</v>
      </c>
      <c r="BK80"/>
      <c r="BL80"/>
      <c r="BM80"/>
      <c r="BN80"/>
    </row>
    <row r="81" spans="3:73" ht="11.1" customHeight="1" x14ac:dyDescent="0.25">
      <c r="C81" s="8"/>
      <c r="D81" s="8"/>
      <c r="F81" s="147"/>
      <c r="G81" s="653"/>
      <c r="H81" s="653"/>
      <c r="I81" s="653"/>
      <c r="J81" s="653"/>
      <c r="K81" s="653"/>
      <c r="L81" s="653"/>
      <c r="M81" s="653"/>
      <c r="N81" s="653"/>
      <c r="O81" s="653"/>
      <c r="P81" s="653"/>
      <c r="Q81" s="653"/>
      <c r="R81" s="653"/>
      <c r="S81" s="653"/>
      <c r="T81" s="653"/>
      <c r="U81" s="653"/>
      <c r="V81" s="723"/>
      <c r="W81" s="723"/>
      <c r="X81" s="723"/>
      <c r="Y81" s="653"/>
      <c r="Z81" s="653"/>
      <c r="AA81" s="653"/>
      <c r="AB81" s="11"/>
      <c r="AC81" s="717" t="s">
        <v>464</v>
      </c>
      <c r="AD81" s="718"/>
      <c r="AE81" s="718"/>
      <c r="AF81" s="718"/>
      <c r="AG81" s="718"/>
      <c r="AH81" s="718"/>
      <c r="AI81" s="718"/>
      <c r="AJ81" s="719"/>
      <c r="AK81" s="705">
        <v>44711</v>
      </c>
      <c r="AL81" s="706"/>
      <c r="AM81" s="706"/>
      <c r="AN81" s="706"/>
      <c r="AO81" s="707"/>
      <c r="AP81" s="708"/>
      <c r="AQ81" s="709"/>
      <c r="AR81" s="709"/>
      <c r="AS81" s="709"/>
      <c r="AT81" s="709"/>
      <c r="AU81" s="709"/>
      <c r="AV81" s="709"/>
      <c r="AW81" s="710"/>
      <c r="BB81" s="139">
        <v>4</v>
      </c>
      <c r="BC81" s="199">
        <f>Proposta_Constr_Individual!AO148</f>
        <v>0</v>
      </c>
      <c r="BD81" s="143"/>
      <c r="BE81" s="144">
        <f t="shared" si="0"/>
        <v>0</v>
      </c>
      <c r="BF81" s="145">
        <f t="shared" si="1"/>
        <v>0</v>
      </c>
      <c r="BH81" s="139"/>
      <c r="BI81" s="156"/>
      <c r="BK81"/>
      <c r="BL81"/>
      <c r="BM81"/>
      <c r="BN81"/>
    </row>
    <row r="82" spans="3:73" ht="11.1" customHeight="1" x14ac:dyDescent="0.25">
      <c r="C82" s="8"/>
      <c r="D82" s="8"/>
      <c r="G82" s="653"/>
      <c r="H82" s="653"/>
      <c r="I82" s="653"/>
      <c r="J82" s="653"/>
      <c r="K82" s="653"/>
      <c r="L82" s="653"/>
      <c r="M82" s="653"/>
      <c r="N82" s="653"/>
      <c r="O82" s="653"/>
      <c r="P82" s="653"/>
      <c r="Q82" s="653"/>
      <c r="R82" s="653"/>
      <c r="S82" s="653"/>
      <c r="T82" s="653"/>
      <c r="U82" s="653"/>
      <c r="V82" s="723"/>
      <c r="W82" s="723"/>
      <c r="X82" s="723"/>
      <c r="Y82" s="653"/>
      <c r="Z82" s="653"/>
      <c r="AA82" s="653"/>
      <c r="AB82" s="22"/>
      <c r="AC82" s="724" t="s">
        <v>446</v>
      </c>
      <c r="AD82" s="725"/>
      <c r="AE82" s="725"/>
      <c r="AF82" s="725"/>
      <c r="AG82" s="725"/>
      <c r="AH82" s="725"/>
      <c r="AI82" s="725"/>
      <c r="AJ82" s="725"/>
      <c r="AK82" s="725"/>
      <c r="AL82" s="725"/>
      <c r="AM82" s="725"/>
      <c r="AN82" s="725"/>
      <c r="AO82" s="725"/>
      <c r="AP82" s="725"/>
      <c r="AQ82" s="725"/>
      <c r="AR82" s="726"/>
      <c r="AS82" s="727">
        <f>IF(AS79="",0,DATEDIF(AH79,AS79,"m"))</f>
        <v>7</v>
      </c>
      <c r="AT82" s="728"/>
      <c r="AU82" s="728"/>
      <c r="AV82" s="728"/>
      <c r="AW82" s="729"/>
      <c r="BB82" s="139">
        <v>5</v>
      </c>
      <c r="BC82" s="199">
        <f>Proposta_Constr_Individual!AO149</f>
        <v>0</v>
      </c>
      <c r="BD82" s="143"/>
      <c r="BE82" s="144">
        <f t="shared" si="0"/>
        <v>0</v>
      </c>
      <c r="BF82" s="145">
        <f t="shared" si="1"/>
        <v>0</v>
      </c>
    </row>
    <row r="83" spans="3:73" ht="11.1" customHeight="1" x14ac:dyDescent="0.25">
      <c r="C83" s="8"/>
      <c r="D83" s="8"/>
      <c r="F83" s="54"/>
      <c r="G83" s="653"/>
      <c r="H83" s="653"/>
      <c r="I83" s="653"/>
      <c r="J83" s="653"/>
      <c r="K83" s="653"/>
      <c r="L83" s="653"/>
      <c r="M83" s="653"/>
      <c r="N83" s="653"/>
      <c r="O83" s="653"/>
      <c r="P83" s="653"/>
      <c r="Q83" s="653"/>
      <c r="R83" s="653"/>
      <c r="S83" s="653" t="s">
        <v>391</v>
      </c>
      <c r="T83" s="653"/>
      <c r="U83" s="653"/>
      <c r="V83" s="653" t="s">
        <v>391</v>
      </c>
      <c r="W83" s="653"/>
      <c r="X83" s="653"/>
      <c r="Y83" s="653" t="s">
        <v>391</v>
      </c>
      <c r="Z83" s="653"/>
      <c r="AA83" s="653"/>
      <c r="AB83" s="11"/>
      <c r="AC83" s="654" t="s">
        <v>406</v>
      </c>
      <c r="AD83" s="655"/>
      <c r="AE83" s="655"/>
      <c r="AF83" s="655"/>
      <c r="AG83" s="655"/>
      <c r="AH83" s="655"/>
      <c r="AI83" s="655"/>
      <c r="AJ83" s="655"/>
      <c r="AK83" s="655"/>
      <c r="AL83" s="655"/>
      <c r="AM83" s="655"/>
      <c r="AN83" s="655"/>
      <c r="AO83" s="655"/>
      <c r="AP83" s="655"/>
      <c r="AQ83" s="655"/>
      <c r="AR83" s="655"/>
      <c r="AS83" s="691"/>
      <c r="AT83" s="691"/>
      <c r="AU83" s="691"/>
      <c r="AV83" s="691"/>
      <c r="AW83" s="691"/>
      <c r="AX83" s="11"/>
      <c r="AY83" s="11"/>
      <c r="AZ83" s="12"/>
      <c r="BB83" s="139">
        <v>6</v>
      </c>
      <c r="BC83" s="199">
        <f>Proposta_Constr_Individual!AO150</f>
        <v>0</v>
      </c>
      <c r="BD83" s="143"/>
      <c r="BE83" s="144">
        <f t="shared" si="0"/>
        <v>0</v>
      </c>
      <c r="BF83" s="145">
        <f t="shared" si="1"/>
        <v>0</v>
      </c>
      <c r="BO83" s="149"/>
      <c r="BP83" s="149"/>
      <c r="BQ83" s="149"/>
      <c r="BR83" s="149"/>
      <c r="BS83" s="149"/>
      <c r="BT83" s="149"/>
      <c r="BU83" s="149"/>
    </row>
    <row r="84" spans="3:73" ht="11.1" customHeight="1" x14ac:dyDescent="0.25">
      <c r="C84" s="8"/>
      <c r="D84" s="8"/>
      <c r="F84" s="54"/>
      <c r="G84" s="685" t="s">
        <v>392</v>
      </c>
      <c r="H84" s="686"/>
      <c r="I84" s="686"/>
      <c r="J84" s="686"/>
      <c r="K84" s="686"/>
      <c r="L84" s="686"/>
      <c r="M84" s="686"/>
      <c r="N84" s="686"/>
      <c r="O84" s="686"/>
      <c r="P84" s="686"/>
      <c r="Q84" s="686"/>
      <c r="R84" s="687"/>
      <c r="S84" s="680">
        <f>Proposta_Constr_Individual!X99</f>
        <v>0</v>
      </c>
      <c r="T84" s="680"/>
      <c r="U84" s="680"/>
      <c r="V84" s="681"/>
      <c r="W84" s="682"/>
      <c r="X84" s="683"/>
      <c r="Y84" s="684">
        <f>IF(S84=0,0,V84*S84*100/100)</f>
        <v>0</v>
      </c>
      <c r="Z84" s="684"/>
      <c r="AA84" s="684"/>
      <c r="AB84" s="11"/>
      <c r="AC84" s="656"/>
      <c r="AD84" s="657"/>
      <c r="AE84" s="657"/>
      <c r="AF84" s="657"/>
      <c r="AG84" s="657"/>
      <c r="AH84" s="657"/>
      <c r="AI84" s="657"/>
      <c r="AJ84" s="657"/>
      <c r="AK84" s="657"/>
      <c r="AL84" s="657"/>
      <c r="AM84" s="657"/>
      <c r="AN84" s="657"/>
      <c r="AO84" s="657"/>
      <c r="AP84" s="657"/>
      <c r="AQ84" s="657"/>
      <c r="AR84" s="657"/>
      <c r="AS84" s="691"/>
      <c r="AT84" s="691"/>
      <c r="AU84" s="691"/>
      <c r="AV84" s="691"/>
      <c r="AW84" s="691"/>
      <c r="AX84" s="11"/>
      <c r="AZ84" s="12"/>
      <c r="BB84" s="139">
        <v>7</v>
      </c>
      <c r="BC84" s="199">
        <f>Proposta_Constr_Individual!AO151</f>
        <v>0</v>
      </c>
      <c r="BD84" s="143"/>
      <c r="BE84" s="144">
        <f t="shared" si="0"/>
        <v>0</v>
      </c>
      <c r="BF84" s="145">
        <f t="shared" si="1"/>
        <v>0</v>
      </c>
      <c r="BI84" s="150"/>
      <c r="BJ84" s="150"/>
    </row>
    <row r="85" spans="3:73" ht="11.1" customHeight="1" x14ac:dyDescent="0.25">
      <c r="C85" s="8"/>
      <c r="D85" s="8"/>
      <c r="F85" s="54"/>
      <c r="G85" s="685" t="s">
        <v>393</v>
      </c>
      <c r="H85" s="686"/>
      <c r="I85" s="686"/>
      <c r="J85" s="686"/>
      <c r="K85" s="686"/>
      <c r="L85" s="686"/>
      <c r="M85" s="686"/>
      <c r="N85" s="686"/>
      <c r="O85" s="686"/>
      <c r="P85" s="686"/>
      <c r="Q85" s="686"/>
      <c r="R85" s="687"/>
      <c r="S85" s="680">
        <f>Proposta_Constr_Individual!X100</f>
        <v>0</v>
      </c>
      <c r="T85" s="680"/>
      <c r="U85" s="680"/>
      <c r="V85" s="681"/>
      <c r="W85" s="682"/>
      <c r="X85" s="683"/>
      <c r="Y85" s="684">
        <f t="shared" ref="Y85:Y103" si="2">IF(S85=0,0,V85*S85*100/100)</f>
        <v>0</v>
      </c>
      <c r="Z85" s="684"/>
      <c r="AA85" s="684"/>
      <c r="AB85" s="11"/>
      <c r="AC85" s="689" t="s">
        <v>407</v>
      </c>
      <c r="AD85" s="690"/>
      <c r="AE85" s="690"/>
      <c r="AF85" s="690"/>
      <c r="AG85" s="690"/>
      <c r="AH85" s="690"/>
      <c r="AI85" s="690"/>
      <c r="AJ85" s="690"/>
      <c r="AK85" s="690"/>
      <c r="AL85" s="690"/>
      <c r="AM85" s="690"/>
      <c r="AN85" s="690"/>
      <c r="AO85" s="690"/>
      <c r="AP85" s="690"/>
      <c r="AQ85" s="690"/>
      <c r="AR85" s="690"/>
      <c r="AS85" s="691"/>
      <c r="AT85" s="691"/>
      <c r="AU85" s="691"/>
      <c r="AV85" s="691"/>
      <c r="AW85" s="691"/>
      <c r="AX85" s="11"/>
      <c r="AZ85" s="12"/>
      <c r="BB85" s="139">
        <v>8</v>
      </c>
      <c r="BC85" s="199">
        <f>Proposta_Constr_Individual!AO152</f>
        <v>0</v>
      </c>
      <c r="BD85" s="143"/>
      <c r="BE85" s="144">
        <f t="shared" si="0"/>
        <v>0</v>
      </c>
      <c r="BF85" s="145">
        <f t="shared" si="1"/>
        <v>0</v>
      </c>
      <c r="BH85" s="151"/>
    </row>
    <row r="86" spans="3:73" ht="11.1" customHeight="1" x14ac:dyDescent="0.25">
      <c r="C86" s="8"/>
      <c r="D86" s="8"/>
      <c r="F86" s="54"/>
      <c r="G86" s="685" t="s">
        <v>465</v>
      </c>
      <c r="H86" s="686"/>
      <c r="I86" s="686" t="s">
        <v>465</v>
      </c>
      <c r="J86" s="686"/>
      <c r="K86" s="686"/>
      <c r="L86" s="686"/>
      <c r="M86" s="686"/>
      <c r="N86" s="686"/>
      <c r="O86" s="686"/>
      <c r="P86" s="686"/>
      <c r="Q86" s="686"/>
      <c r="R86" s="687"/>
      <c r="S86" s="680">
        <f>Proposta_Constr_Individual!X101</f>
        <v>0</v>
      </c>
      <c r="T86" s="680"/>
      <c r="U86" s="680"/>
      <c r="V86" s="681"/>
      <c r="W86" s="682"/>
      <c r="X86" s="683"/>
      <c r="Y86" s="684">
        <f t="shared" si="2"/>
        <v>0</v>
      </c>
      <c r="Z86" s="684"/>
      <c r="AA86" s="684"/>
      <c r="AB86" s="11"/>
      <c r="AC86" s="689" t="s">
        <v>408</v>
      </c>
      <c r="AD86" s="696"/>
      <c r="AE86" s="696"/>
      <c r="AF86" s="696"/>
      <c r="AG86" s="696"/>
      <c r="AH86" s="696"/>
      <c r="AI86" s="696"/>
      <c r="AJ86" s="696"/>
      <c r="AK86" s="696"/>
      <c r="AL86" s="696"/>
      <c r="AM86" s="696"/>
      <c r="AN86" s="696"/>
      <c r="AO86" s="696"/>
      <c r="AP86" s="696"/>
      <c r="AQ86" s="696"/>
      <c r="AR86" s="697"/>
      <c r="AS86" s="691"/>
      <c r="AT86" s="691"/>
      <c r="AU86" s="691"/>
      <c r="AV86" s="691"/>
      <c r="AW86" s="691"/>
      <c r="AX86" s="11"/>
      <c r="AZ86" s="12"/>
      <c r="BB86" s="139">
        <v>9</v>
      </c>
      <c r="BC86" s="199">
        <f>Proposta_Constr_Individual!AO153</f>
        <v>0</v>
      </c>
      <c r="BD86" s="143"/>
      <c r="BE86" s="144">
        <f t="shared" si="0"/>
        <v>0</v>
      </c>
      <c r="BF86" s="145">
        <f t="shared" si="1"/>
        <v>0</v>
      </c>
      <c r="BI86" s="152"/>
    </row>
    <row r="87" spans="3:73" ht="11.1" customHeight="1" x14ac:dyDescent="0.25">
      <c r="C87" s="8"/>
      <c r="D87" s="8"/>
      <c r="F87" s="54"/>
      <c r="G87" s="685" t="s">
        <v>196</v>
      </c>
      <c r="H87" s="686"/>
      <c r="I87" s="686" t="s">
        <v>196</v>
      </c>
      <c r="J87" s="686"/>
      <c r="K87" s="686"/>
      <c r="L87" s="686"/>
      <c r="M87" s="686"/>
      <c r="N87" s="686"/>
      <c r="O87" s="686"/>
      <c r="P87" s="686"/>
      <c r="Q87" s="686"/>
      <c r="R87" s="687"/>
      <c r="S87" s="680">
        <f>Proposta_Constr_Individual!X102</f>
        <v>0</v>
      </c>
      <c r="T87" s="680"/>
      <c r="U87" s="680"/>
      <c r="V87" s="681"/>
      <c r="W87" s="682"/>
      <c r="X87" s="683"/>
      <c r="Y87" s="684">
        <f t="shared" si="2"/>
        <v>0</v>
      </c>
      <c r="Z87" s="684"/>
      <c r="AA87" s="684"/>
      <c r="AB87" s="11"/>
      <c r="AC87" s="689" t="s">
        <v>478</v>
      </c>
      <c r="AD87" s="696"/>
      <c r="AE87" s="696"/>
      <c r="AF87" s="696"/>
      <c r="AG87" s="696"/>
      <c r="AH87" s="696"/>
      <c r="AI87" s="692"/>
      <c r="AJ87" s="693"/>
      <c r="AK87" s="693"/>
      <c r="AL87" s="693"/>
      <c r="AM87" s="694" t="s">
        <v>480</v>
      </c>
      <c r="AN87" s="695" t="s">
        <v>479</v>
      </c>
      <c r="AO87" s="695"/>
      <c r="AP87" s="695"/>
      <c r="AQ87" s="695"/>
      <c r="AR87" s="695"/>
      <c r="AS87" s="705"/>
      <c r="AT87" s="706"/>
      <c r="AU87" s="706"/>
      <c r="AV87" s="706"/>
      <c r="AW87" s="707"/>
      <c r="AX87" s="11"/>
      <c r="AZ87" s="12"/>
      <c r="BB87" s="139">
        <v>10</v>
      </c>
      <c r="BC87" s="199">
        <f>Proposta_Constr_Individual!AO154</f>
        <v>0</v>
      </c>
      <c r="BD87" s="143"/>
      <c r="BE87" s="144">
        <f t="shared" si="0"/>
        <v>0</v>
      </c>
      <c r="BF87" s="145">
        <f t="shared" si="1"/>
        <v>0</v>
      </c>
    </row>
    <row r="88" spans="3:73" ht="11.1" customHeight="1" x14ac:dyDescent="0.25">
      <c r="C88" s="8"/>
      <c r="D88" s="8"/>
      <c r="F88" s="54"/>
      <c r="G88" s="685" t="s">
        <v>33</v>
      </c>
      <c r="H88" s="686"/>
      <c r="I88" s="686" t="s">
        <v>33</v>
      </c>
      <c r="J88" s="686"/>
      <c r="K88" s="686"/>
      <c r="L88" s="686"/>
      <c r="M88" s="686"/>
      <c r="N88" s="686"/>
      <c r="O88" s="686"/>
      <c r="P88" s="686"/>
      <c r="Q88" s="686"/>
      <c r="R88" s="687"/>
      <c r="S88" s="680">
        <f>Proposta_Constr_Individual!X103</f>
        <v>0</v>
      </c>
      <c r="T88" s="680"/>
      <c r="U88" s="680"/>
      <c r="V88" s="681"/>
      <c r="W88" s="682"/>
      <c r="X88" s="683"/>
      <c r="Y88" s="684">
        <f t="shared" si="2"/>
        <v>0</v>
      </c>
      <c r="Z88" s="684"/>
      <c r="AA88" s="684"/>
      <c r="AB88" s="11"/>
      <c r="AC88" s="689" t="s">
        <v>409</v>
      </c>
      <c r="AD88" s="690"/>
      <c r="AE88" s="690"/>
      <c r="AF88" s="690"/>
      <c r="AG88" s="690"/>
      <c r="AH88" s="690"/>
      <c r="AI88" s="690"/>
      <c r="AJ88" s="690"/>
      <c r="AK88" s="690"/>
      <c r="AL88" s="690"/>
      <c r="AM88" s="690"/>
      <c r="AN88" s="690"/>
      <c r="AO88" s="690"/>
      <c r="AP88" s="690"/>
      <c r="AQ88" s="690"/>
      <c r="AR88" s="690"/>
      <c r="AS88" s="691"/>
      <c r="AT88" s="691"/>
      <c r="AU88" s="691"/>
      <c r="AV88" s="691"/>
      <c r="AW88" s="691"/>
      <c r="AX88" s="11"/>
      <c r="AZ88" s="12"/>
      <c r="BB88" s="139">
        <v>11</v>
      </c>
      <c r="BC88" s="199">
        <f>Proposta_Constr_Individual!AO155</f>
        <v>0</v>
      </c>
      <c r="BD88" s="143"/>
      <c r="BE88" s="144">
        <f t="shared" si="0"/>
        <v>0</v>
      </c>
      <c r="BF88" s="145">
        <f t="shared" si="1"/>
        <v>0</v>
      </c>
      <c r="BH88" s="152"/>
      <c r="BI88" s="152"/>
    </row>
    <row r="89" spans="3:73" ht="11.1" customHeight="1" x14ac:dyDescent="0.25">
      <c r="C89" s="8"/>
      <c r="D89" s="8"/>
      <c r="F89" s="147"/>
      <c r="G89" s="685" t="s">
        <v>394</v>
      </c>
      <c r="H89" s="686"/>
      <c r="I89" s="686" t="s">
        <v>394</v>
      </c>
      <c r="J89" s="686"/>
      <c r="K89" s="686"/>
      <c r="L89" s="686"/>
      <c r="M89" s="686"/>
      <c r="N89" s="686"/>
      <c r="O89" s="686"/>
      <c r="P89" s="686"/>
      <c r="Q89" s="686"/>
      <c r="R89" s="687"/>
      <c r="S89" s="680">
        <f>Proposta_Constr_Individual!X104</f>
        <v>0</v>
      </c>
      <c r="T89" s="680"/>
      <c r="U89" s="680"/>
      <c r="V89" s="681"/>
      <c r="W89" s="682"/>
      <c r="X89" s="683"/>
      <c r="Y89" s="684">
        <f t="shared" si="2"/>
        <v>0</v>
      </c>
      <c r="Z89" s="684"/>
      <c r="AA89" s="684"/>
      <c r="AB89" s="11"/>
      <c r="AC89" s="757" t="s">
        <v>410</v>
      </c>
      <c r="AD89" s="758"/>
      <c r="AE89" s="758"/>
      <c r="AF89" s="758"/>
      <c r="AG89" s="758"/>
      <c r="AH89" s="758"/>
      <c r="AI89" s="758"/>
      <c r="AJ89" s="758"/>
      <c r="AK89" s="758"/>
      <c r="AL89" s="758"/>
      <c r="AM89" s="758"/>
      <c r="AN89" s="758"/>
      <c r="AO89" s="758"/>
      <c r="AP89" s="758"/>
      <c r="AQ89" s="758"/>
      <c r="AR89" s="759"/>
      <c r="AS89" s="763"/>
      <c r="AT89" s="764"/>
      <c r="AU89" s="764"/>
      <c r="AV89" s="764"/>
      <c r="AW89" s="765"/>
      <c r="AX89" s="11"/>
      <c r="AZ89" s="12"/>
      <c r="BB89" s="139">
        <v>12</v>
      </c>
      <c r="BC89" s="199">
        <f>Proposta_Constr_Individual!AO156</f>
        <v>0</v>
      </c>
      <c r="BD89" s="143"/>
      <c r="BE89" s="144">
        <f t="shared" si="0"/>
        <v>0</v>
      </c>
      <c r="BF89" s="145">
        <f t="shared" si="1"/>
        <v>0</v>
      </c>
      <c r="BH89" s="153"/>
      <c r="BI89" s="154"/>
    </row>
    <row r="90" spans="3:73" ht="11.1" customHeight="1" x14ac:dyDescent="0.25">
      <c r="C90" s="8"/>
      <c r="D90" s="8"/>
      <c r="F90" s="147"/>
      <c r="G90" s="685" t="s">
        <v>395</v>
      </c>
      <c r="H90" s="686"/>
      <c r="I90" s="686" t="s">
        <v>395</v>
      </c>
      <c r="J90" s="686"/>
      <c r="K90" s="686"/>
      <c r="L90" s="686"/>
      <c r="M90" s="686"/>
      <c r="N90" s="686"/>
      <c r="O90" s="686"/>
      <c r="P90" s="686"/>
      <c r="Q90" s="686"/>
      <c r="R90" s="687"/>
      <c r="S90" s="680">
        <f>Proposta_Constr_Individual!X105</f>
        <v>0</v>
      </c>
      <c r="T90" s="680"/>
      <c r="U90" s="680"/>
      <c r="V90" s="681"/>
      <c r="W90" s="682"/>
      <c r="X90" s="683"/>
      <c r="Y90" s="684">
        <f t="shared" si="2"/>
        <v>0</v>
      </c>
      <c r="Z90" s="684"/>
      <c r="AA90" s="684"/>
      <c r="AB90" s="11"/>
      <c r="AC90" s="760"/>
      <c r="AD90" s="761"/>
      <c r="AE90" s="761"/>
      <c r="AF90" s="761"/>
      <c r="AG90" s="761"/>
      <c r="AH90" s="761"/>
      <c r="AI90" s="761"/>
      <c r="AJ90" s="761"/>
      <c r="AK90" s="761"/>
      <c r="AL90" s="761"/>
      <c r="AM90" s="761"/>
      <c r="AN90" s="761"/>
      <c r="AO90" s="761"/>
      <c r="AP90" s="761"/>
      <c r="AQ90" s="761"/>
      <c r="AR90" s="762"/>
      <c r="AS90" s="766"/>
      <c r="AT90" s="754"/>
      <c r="AU90" s="754"/>
      <c r="AV90" s="754"/>
      <c r="AW90" s="767"/>
      <c r="AX90" s="11"/>
      <c r="BB90" s="139">
        <v>13</v>
      </c>
      <c r="BC90" s="199">
        <f>Proposta_Constr_Individual!AO157</f>
        <v>0</v>
      </c>
      <c r="BD90" s="143"/>
      <c r="BE90" s="144">
        <f t="shared" si="0"/>
        <v>0</v>
      </c>
      <c r="BF90" s="145">
        <f t="shared" si="1"/>
        <v>0</v>
      </c>
    </row>
    <row r="91" spans="3:73" ht="11.1" customHeight="1" x14ac:dyDescent="0.25">
      <c r="C91" s="8"/>
      <c r="D91" s="8"/>
      <c r="F91" s="54"/>
      <c r="G91" s="685" t="s">
        <v>396</v>
      </c>
      <c r="H91" s="686"/>
      <c r="I91" s="686" t="s">
        <v>396</v>
      </c>
      <c r="J91" s="686"/>
      <c r="K91" s="686"/>
      <c r="L91" s="686"/>
      <c r="M91" s="686"/>
      <c r="N91" s="686"/>
      <c r="O91" s="686"/>
      <c r="P91" s="686"/>
      <c r="Q91" s="686"/>
      <c r="R91" s="687"/>
      <c r="S91" s="680">
        <f>Proposta_Constr_Individual!X106</f>
        <v>0</v>
      </c>
      <c r="T91" s="680"/>
      <c r="U91" s="680"/>
      <c r="V91" s="681"/>
      <c r="W91" s="682"/>
      <c r="X91" s="683"/>
      <c r="Y91" s="684">
        <f t="shared" si="2"/>
        <v>0</v>
      </c>
      <c r="Z91" s="684"/>
      <c r="AA91" s="684"/>
      <c r="AB91" s="11"/>
      <c r="AC91" s="768" t="s">
        <v>411</v>
      </c>
      <c r="AD91" s="769"/>
      <c r="AE91" s="769"/>
      <c r="AF91" s="769"/>
      <c r="AG91" s="769"/>
      <c r="AH91" s="769"/>
      <c r="AI91" s="769"/>
      <c r="AJ91" s="769"/>
      <c r="AK91" s="769"/>
      <c r="AL91" s="769"/>
      <c r="AM91" s="769"/>
      <c r="AN91" s="769"/>
      <c r="AO91" s="769"/>
      <c r="AP91" s="769"/>
      <c r="AQ91" s="769"/>
      <c r="AR91" s="770"/>
      <c r="AS91" s="785">
        <f>$BI$78</f>
        <v>5</v>
      </c>
      <c r="AT91" s="786"/>
      <c r="AU91" s="786"/>
      <c r="AV91" s="786"/>
      <c r="AW91" s="787"/>
      <c r="AX91" s="11"/>
      <c r="BB91" s="139">
        <v>14</v>
      </c>
      <c r="BC91" s="199">
        <f>Proposta_Constr_Individual!AO158</f>
        <v>0</v>
      </c>
      <c r="BD91" s="143"/>
      <c r="BE91" s="144">
        <f t="shared" si="0"/>
        <v>0</v>
      </c>
      <c r="BF91" s="145">
        <f t="shared" si="1"/>
        <v>0</v>
      </c>
    </row>
    <row r="92" spans="3:73" ht="11.1" customHeight="1" x14ac:dyDescent="0.25">
      <c r="C92" s="8"/>
      <c r="D92" s="8"/>
      <c r="F92" s="54"/>
      <c r="G92" s="685" t="s">
        <v>62</v>
      </c>
      <c r="H92" s="686"/>
      <c r="I92" s="686" t="s">
        <v>62</v>
      </c>
      <c r="J92" s="686"/>
      <c r="K92" s="686"/>
      <c r="L92" s="686"/>
      <c r="M92" s="686"/>
      <c r="N92" s="686"/>
      <c r="O92" s="686"/>
      <c r="P92" s="686"/>
      <c r="Q92" s="686"/>
      <c r="R92" s="687"/>
      <c r="S92" s="680">
        <f>Proposta_Constr_Individual!X107</f>
        <v>0</v>
      </c>
      <c r="T92" s="680"/>
      <c r="U92" s="680"/>
      <c r="V92" s="681"/>
      <c r="W92" s="682"/>
      <c r="X92" s="683"/>
      <c r="Y92" s="684">
        <f t="shared" si="2"/>
        <v>0</v>
      </c>
      <c r="Z92" s="684"/>
      <c r="AA92" s="684"/>
      <c r="AB92" s="11"/>
      <c r="AC92" s="768" t="s">
        <v>414</v>
      </c>
      <c r="AD92" s="769"/>
      <c r="AE92" s="769"/>
      <c r="AF92" s="769"/>
      <c r="AG92" s="769"/>
      <c r="AH92" s="769"/>
      <c r="AI92" s="769"/>
      <c r="AJ92" s="769"/>
      <c r="AK92" s="769"/>
      <c r="AL92" s="769"/>
      <c r="AM92" s="769"/>
      <c r="AN92" s="769"/>
      <c r="AO92" s="769"/>
      <c r="AP92" s="769"/>
      <c r="AQ92" s="782" t="e">
        <f ca="1">IF(AS82=0,"",$BI$80)</f>
        <v>#NAME?</v>
      </c>
      <c r="AR92" s="783"/>
      <c r="AS92" s="783"/>
      <c r="AT92" s="783"/>
      <c r="AU92" s="783"/>
      <c r="AV92" s="783"/>
      <c r="AW92" s="784"/>
      <c r="AX92" s="11"/>
      <c r="BB92" s="139">
        <v>15</v>
      </c>
      <c r="BC92" s="199">
        <f>Proposta_Constr_Individual!AO159</f>
        <v>0</v>
      </c>
      <c r="BD92" s="143"/>
      <c r="BE92" s="144">
        <f t="shared" si="0"/>
        <v>0</v>
      </c>
      <c r="BF92" s="145">
        <f t="shared" si="1"/>
        <v>0</v>
      </c>
    </row>
    <row r="93" spans="3:73" ht="11.1" customHeight="1" x14ac:dyDescent="0.25">
      <c r="C93" s="8"/>
      <c r="D93" s="8"/>
      <c r="F93" s="54"/>
      <c r="G93" s="685" t="s">
        <v>34</v>
      </c>
      <c r="H93" s="686"/>
      <c r="I93" s="686" t="s">
        <v>34</v>
      </c>
      <c r="J93" s="686"/>
      <c r="K93" s="686"/>
      <c r="L93" s="686"/>
      <c r="M93" s="686"/>
      <c r="N93" s="686"/>
      <c r="O93" s="686"/>
      <c r="P93" s="686"/>
      <c r="Q93" s="686"/>
      <c r="R93" s="687"/>
      <c r="S93" s="680">
        <f>Proposta_Constr_Individual!X108</f>
        <v>0</v>
      </c>
      <c r="T93" s="680"/>
      <c r="U93" s="680"/>
      <c r="V93" s="681"/>
      <c r="W93" s="682"/>
      <c r="X93" s="683"/>
      <c r="Y93" s="684">
        <f t="shared" si="2"/>
        <v>0</v>
      </c>
      <c r="Z93" s="684"/>
      <c r="AA93" s="684"/>
      <c r="AB93" s="11"/>
      <c r="AC93" s="685" t="s">
        <v>443</v>
      </c>
      <c r="AD93" s="686"/>
      <c r="AE93" s="686"/>
      <c r="AF93" s="686"/>
      <c r="AG93" s="686"/>
      <c r="AH93" s="686"/>
      <c r="AI93" s="686"/>
      <c r="AJ93" s="686"/>
      <c r="AK93" s="686"/>
      <c r="AL93" s="686"/>
      <c r="AM93" s="686"/>
      <c r="AN93" s="686"/>
      <c r="AO93" s="686"/>
      <c r="AP93" s="686"/>
      <c r="AQ93" s="686"/>
      <c r="AR93" s="686"/>
      <c r="AS93" s="780"/>
      <c r="AT93" s="780"/>
      <c r="AU93" s="780"/>
      <c r="AV93" s="780"/>
      <c r="AW93" s="781"/>
      <c r="AX93" s="11"/>
      <c r="BB93" s="139">
        <v>16</v>
      </c>
      <c r="BC93" s="199">
        <f>Proposta_Constr_Individual!AO160</f>
        <v>0</v>
      </c>
      <c r="BD93" s="143"/>
      <c r="BE93" s="144">
        <f t="shared" si="0"/>
        <v>0</v>
      </c>
      <c r="BF93" s="145">
        <f t="shared" si="1"/>
        <v>0</v>
      </c>
    </row>
    <row r="94" spans="3:73" ht="11.1" customHeight="1" x14ac:dyDescent="0.25">
      <c r="C94" s="8"/>
      <c r="D94" s="8"/>
      <c r="F94" s="54"/>
      <c r="G94" s="685" t="s">
        <v>63</v>
      </c>
      <c r="H94" s="686"/>
      <c r="I94" s="686" t="s">
        <v>63</v>
      </c>
      <c r="J94" s="686"/>
      <c r="K94" s="686"/>
      <c r="L94" s="686"/>
      <c r="M94" s="686"/>
      <c r="N94" s="686"/>
      <c r="O94" s="686"/>
      <c r="P94" s="686"/>
      <c r="Q94" s="686"/>
      <c r="R94" s="687"/>
      <c r="S94" s="680">
        <f>Proposta_Constr_Individual!X109</f>
        <v>0</v>
      </c>
      <c r="T94" s="680"/>
      <c r="U94" s="680"/>
      <c r="V94" s="681"/>
      <c r="W94" s="682"/>
      <c r="X94" s="683"/>
      <c r="Y94" s="684">
        <f t="shared" si="2"/>
        <v>0</v>
      </c>
      <c r="Z94" s="684"/>
      <c r="AA94" s="684"/>
      <c r="AB94" s="11"/>
      <c r="AC94" s="777"/>
      <c r="AD94" s="778"/>
      <c r="AE94" s="778"/>
      <c r="AF94" s="778"/>
      <c r="AG94" s="778"/>
      <c r="AH94" s="778"/>
      <c r="AI94" s="778"/>
      <c r="AJ94" s="778"/>
      <c r="AK94" s="778"/>
      <c r="AL94" s="778"/>
      <c r="AM94" s="778"/>
      <c r="AN94" s="778"/>
      <c r="AO94" s="778"/>
      <c r="AP94" s="778"/>
      <c r="AQ94" s="778"/>
      <c r="AR94" s="778"/>
      <c r="AS94" s="778"/>
      <c r="AT94" s="778"/>
      <c r="AU94" s="778"/>
      <c r="AV94" s="778"/>
      <c r="AW94" s="779"/>
      <c r="AX94" s="11"/>
      <c r="BB94" s="139">
        <v>17</v>
      </c>
      <c r="BC94" s="199">
        <f>Proposta_Constr_Individual!AO161</f>
        <v>0</v>
      </c>
      <c r="BD94" s="143"/>
      <c r="BE94" s="144">
        <f t="shared" si="0"/>
        <v>0</v>
      </c>
      <c r="BF94" s="145">
        <f t="shared" si="1"/>
        <v>0</v>
      </c>
    </row>
    <row r="95" spans="3:73" ht="11.1" customHeight="1" x14ac:dyDescent="0.25">
      <c r="C95" s="8"/>
      <c r="D95" s="8"/>
      <c r="F95" s="54"/>
      <c r="G95" s="685" t="s">
        <v>397</v>
      </c>
      <c r="H95" s="686"/>
      <c r="I95" s="686" t="s">
        <v>397</v>
      </c>
      <c r="J95" s="686"/>
      <c r="K95" s="686"/>
      <c r="L95" s="686"/>
      <c r="M95" s="686"/>
      <c r="N95" s="686"/>
      <c r="O95" s="686"/>
      <c r="P95" s="686"/>
      <c r="Q95" s="686"/>
      <c r="R95" s="687"/>
      <c r="S95" s="680">
        <f>Proposta_Constr_Individual!X110</f>
        <v>0</v>
      </c>
      <c r="T95" s="680"/>
      <c r="U95" s="680"/>
      <c r="V95" s="681"/>
      <c r="W95" s="682"/>
      <c r="X95" s="683"/>
      <c r="Y95" s="684">
        <f t="shared" si="2"/>
        <v>0</v>
      </c>
      <c r="Z95" s="684"/>
      <c r="AA95" s="684"/>
      <c r="AB95" s="11"/>
      <c r="AC95" s="777"/>
      <c r="AD95" s="778"/>
      <c r="AE95" s="778"/>
      <c r="AF95" s="778"/>
      <c r="AG95" s="778"/>
      <c r="AH95" s="778"/>
      <c r="AI95" s="778"/>
      <c r="AJ95" s="778"/>
      <c r="AK95" s="778"/>
      <c r="AL95" s="778"/>
      <c r="AM95" s="778"/>
      <c r="AN95" s="778"/>
      <c r="AO95" s="778"/>
      <c r="AP95" s="778"/>
      <c r="AQ95" s="778"/>
      <c r="AR95" s="778"/>
      <c r="AS95" s="778"/>
      <c r="AT95" s="778"/>
      <c r="AU95" s="778"/>
      <c r="AV95" s="778"/>
      <c r="AW95" s="779"/>
      <c r="AX95" s="11"/>
      <c r="BB95" s="139">
        <v>18</v>
      </c>
      <c r="BC95" s="199">
        <f>Proposta_Constr_Individual!AO162</f>
        <v>0</v>
      </c>
      <c r="BD95" s="143"/>
      <c r="BE95" s="144">
        <f t="shared" si="0"/>
        <v>0</v>
      </c>
      <c r="BF95" s="145">
        <f t="shared" si="1"/>
        <v>0</v>
      </c>
    </row>
    <row r="96" spans="3:73" ht="11.1" customHeight="1" x14ac:dyDescent="0.25">
      <c r="C96" s="8"/>
      <c r="D96" s="8"/>
      <c r="F96" s="54"/>
      <c r="G96" s="685" t="s">
        <v>35</v>
      </c>
      <c r="H96" s="686"/>
      <c r="I96" s="686" t="s">
        <v>35</v>
      </c>
      <c r="J96" s="686"/>
      <c r="K96" s="686"/>
      <c r="L96" s="686"/>
      <c r="M96" s="686"/>
      <c r="N96" s="686"/>
      <c r="O96" s="686"/>
      <c r="P96" s="686"/>
      <c r="Q96" s="686"/>
      <c r="R96" s="687"/>
      <c r="S96" s="680">
        <f>Proposta_Constr_Individual!X111</f>
        <v>0</v>
      </c>
      <c r="T96" s="680"/>
      <c r="U96" s="680"/>
      <c r="V96" s="681"/>
      <c r="W96" s="682"/>
      <c r="X96" s="683"/>
      <c r="Y96" s="684">
        <f t="shared" si="2"/>
        <v>0</v>
      </c>
      <c r="Z96" s="684"/>
      <c r="AA96" s="684"/>
      <c r="AB96" s="11"/>
      <c r="AC96" s="777"/>
      <c r="AD96" s="778"/>
      <c r="AE96" s="778"/>
      <c r="AF96" s="778"/>
      <c r="AG96" s="778"/>
      <c r="AH96" s="778"/>
      <c r="AI96" s="778"/>
      <c r="AJ96" s="778"/>
      <c r="AK96" s="778"/>
      <c r="AL96" s="778"/>
      <c r="AM96" s="778"/>
      <c r="AN96" s="778"/>
      <c r="AO96" s="778"/>
      <c r="AP96" s="778"/>
      <c r="AQ96" s="778"/>
      <c r="AR96" s="778"/>
      <c r="AS96" s="778"/>
      <c r="AT96" s="778"/>
      <c r="AU96" s="778"/>
      <c r="AV96" s="778"/>
      <c r="AW96" s="779"/>
      <c r="AX96" s="11"/>
      <c r="BB96" s="139">
        <v>19</v>
      </c>
      <c r="BC96" s="199">
        <f>Proposta_Constr_Individual!AO163</f>
        <v>0</v>
      </c>
      <c r="BD96" s="143"/>
      <c r="BE96" s="144">
        <f t="shared" si="0"/>
        <v>0</v>
      </c>
      <c r="BF96" s="145">
        <f t="shared" si="1"/>
        <v>0</v>
      </c>
    </row>
    <row r="97" spans="1:63" ht="11.1" customHeight="1" x14ac:dyDescent="0.25">
      <c r="C97" s="8"/>
      <c r="D97" s="8"/>
      <c r="F97" s="54"/>
      <c r="G97" s="685" t="s">
        <v>398</v>
      </c>
      <c r="H97" s="686"/>
      <c r="I97" s="686" t="s">
        <v>398</v>
      </c>
      <c r="J97" s="686"/>
      <c r="K97" s="686"/>
      <c r="L97" s="686"/>
      <c r="M97" s="686"/>
      <c r="N97" s="686"/>
      <c r="O97" s="686"/>
      <c r="P97" s="686"/>
      <c r="Q97" s="686"/>
      <c r="R97" s="687"/>
      <c r="S97" s="680">
        <f>Proposta_Constr_Individual!X112</f>
        <v>0</v>
      </c>
      <c r="T97" s="680"/>
      <c r="U97" s="680"/>
      <c r="V97" s="681"/>
      <c r="W97" s="682"/>
      <c r="X97" s="683"/>
      <c r="Y97" s="684">
        <f t="shared" si="2"/>
        <v>0</v>
      </c>
      <c r="Z97" s="684"/>
      <c r="AA97" s="684"/>
      <c r="AB97" s="11"/>
      <c r="AC97" s="777"/>
      <c r="AD97" s="778"/>
      <c r="AE97" s="778"/>
      <c r="AF97" s="778"/>
      <c r="AG97" s="778"/>
      <c r="AH97" s="778"/>
      <c r="AI97" s="778"/>
      <c r="AJ97" s="778"/>
      <c r="AK97" s="778"/>
      <c r="AL97" s="778"/>
      <c r="AM97" s="778"/>
      <c r="AN97" s="778"/>
      <c r="AO97" s="778"/>
      <c r="AP97" s="778"/>
      <c r="AQ97" s="778"/>
      <c r="AR97" s="778"/>
      <c r="AS97" s="778"/>
      <c r="AT97" s="778"/>
      <c r="AU97" s="778"/>
      <c r="AV97" s="778"/>
      <c r="AW97" s="779"/>
      <c r="AX97" s="11"/>
      <c r="BB97" s="139">
        <v>20</v>
      </c>
      <c r="BC97" s="199">
        <f>Proposta_Constr_Individual!AO164</f>
        <v>0</v>
      </c>
      <c r="BD97" s="143"/>
      <c r="BE97" s="144">
        <f t="shared" si="0"/>
        <v>0</v>
      </c>
      <c r="BF97" s="145">
        <f t="shared" si="1"/>
        <v>0</v>
      </c>
    </row>
    <row r="98" spans="1:63" ht="11.1" customHeight="1" x14ac:dyDescent="0.25">
      <c r="C98" s="8"/>
      <c r="D98" s="8"/>
      <c r="F98" s="147"/>
      <c r="G98" s="685" t="s">
        <v>399</v>
      </c>
      <c r="H98" s="686"/>
      <c r="I98" s="686" t="s">
        <v>399</v>
      </c>
      <c r="J98" s="686"/>
      <c r="K98" s="686"/>
      <c r="L98" s="686"/>
      <c r="M98" s="686"/>
      <c r="N98" s="686"/>
      <c r="O98" s="686"/>
      <c r="P98" s="686"/>
      <c r="Q98" s="686"/>
      <c r="R98" s="687"/>
      <c r="S98" s="680">
        <f>Proposta_Constr_Individual!X113</f>
        <v>0</v>
      </c>
      <c r="T98" s="680"/>
      <c r="U98" s="680"/>
      <c r="V98" s="681"/>
      <c r="W98" s="682"/>
      <c r="X98" s="683"/>
      <c r="Y98" s="684">
        <f t="shared" si="2"/>
        <v>0</v>
      </c>
      <c r="Z98" s="684"/>
      <c r="AA98" s="684"/>
      <c r="AB98" s="11"/>
      <c r="AC98" s="777"/>
      <c r="AD98" s="778"/>
      <c r="AE98" s="778"/>
      <c r="AF98" s="778"/>
      <c r="AG98" s="778"/>
      <c r="AH98" s="778"/>
      <c r="AI98" s="778"/>
      <c r="AJ98" s="778"/>
      <c r="AK98" s="778"/>
      <c r="AL98" s="778"/>
      <c r="AM98" s="778"/>
      <c r="AN98" s="778"/>
      <c r="AO98" s="778"/>
      <c r="AP98" s="778"/>
      <c r="AQ98" s="778"/>
      <c r="AR98" s="778"/>
      <c r="AS98" s="778"/>
      <c r="AT98" s="778"/>
      <c r="AU98" s="778"/>
      <c r="AV98" s="778"/>
      <c r="AW98" s="779"/>
      <c r="AX98" s="11"/>
      <c r="BB98" s="139">
        <v>21</v>
      </c>
      <c r="BC98" s="199">
        <f>Proposta_Constr_Individual!AO165</f>
        <v>0</v>
      </c>
      <c r="BD98" s="143"/>
      <c r="BE98" s="144">
        <f t="shared" si="0"/>
        <v>0</v>
      </c>
      <c r="BF98" s="145">
        <f t="shared" si="1"/>
        <v>0</v>
      </c>
      <c r="BK98" s="42"/>
    </row>
    <row r="99" spans="1:63" ht="11.1" customHeight="1" x14ac:dyDescent="0.25">
      <c r="C99" s="8"/>
      <c r="D99" s="8"/>
      <c r="F99" s="147"/>
      <c r="G99" s="685" t="s">
        <v>400</v>
      </c>
      <c r="H99" s="686"/>
      <c r="I99" s="686" t="s">
        <v>400</v>
      </c>
      <c r="J99" s="686"/>
      <c r="K99" s="686"/>
      <c r="L99" s="686"/>
      <c r="M99" s="686"/>
      <c r="N99" s="686"/>
      <c r="O99" s="686"/>
      <c r="P99" s="686"/>
      <c r="Q99" s="686"/>
      <c r="R99" s="687"/>
      <c r="S99" s="680">
        <f>Proposta_Constr_Individual!X114</f>
        <v>0</v>
      </c>
      <c r="T99" s="680"/>
      <c r="U99" s="680"/>
      <c r="V99" s="681"/>
      <c r="W99" s="682"/>
      <c r="X99" s="683"/>
      <c r="Y99" s="684">
        <f t="shared" si="2"/>
        <v>0</v>
      </c>
      <c r="Z99" s="684"/>
      <c r="AA99" s="684"/>
      <c r="AC99" s="777"/>
      <c r="AD99" s="778"/>
      <c r="AE99" s="778"/>
      <c r="AF99" s="778"/>
      <c r="AG99" s="778"/>
      <c r="AH99" s="778"/>
      <c r="AI99" s="778"/>
      <c r="AJ99" s="778"/>
      <c r="AK99" s="778"/>
      <c r="AL99" s="778"/>
      <c r="AM99" s="778"/>
      <c r="AN99" s="778"/>
      <c r="AO99" s="778"/>
      <c r="AP99" s="778"/>
      <c r="AQ99" s="778"/>
      <c r="AR99" s="778"/>
      <c r="AS99" s="778"/>
      <c r="AT99" s="778"/>
      <c r="AU99" s="778"/>
      <c r="AV99" s="778"/>
      <c r="AW99" s="779"/>
      <c r="BB99" s="139">
        <v>22</v>
      </c>
      <c r="BC99" s="199">
        <f>Proposta_Constr_Individual!AO166</f>
        <v>0</v>
      </c>
      <c r="BD99" s="143"/>
      <c r="BE99" s="144">
        <f t="shared" si="0"/>
        <v>0</v>
      </c>
      <c r="BF99" s="145">
        <f t="shared" si="1"/>
        <v>0</v>
      </c>
      <c r="BH99" s="55"/>
    </row>
    <row r="100" spans="1:63" ht="11.1" customHeight="1" x14ac:dyDescent="0.25">
      <c r="C100" s="8"/>
      <c r="D100" s="8"/>
      <c r="F100" s="54"/>
      <c r="G100" s="685" t="s">
        <v>401</v>
      </c>
      <c r="H100" s="686"/>
      <c r="I100" s="686" t="s">
        <v>401</v>
      </c>
      <c r="J100" s="686"/>
      <c r="K100" s="686"/>
      <c r="L100" s="686"/>
      <c r="M100" s="686"/>
      <c r="N100" s="686"/>
      <c r="O100" s="686"/>
      <c r="P100" s="686"/>
      <c r="Q100" s="686"/>
      <c r="R100" s="687"/>
      <c r="S100" s="680">
        <f>Proposta_Constr_Individual!X115</f>
        <v>0</v>
      </c>
      <c r="T100" s="680"/>
      <c r="U100" s="680"/>
      <c r="V100" s="681"/>
      <c r="W100" s="682"/>
      <c r="X100" s="683"/>
      <c r="Y100" s="684">
        <f t="shared" si="2"/>
        <v>0</v>
      </c>
      <c r="Z100" s="684"/>
      <c r="AA100" s="684"/>
      <c r="AB100" s="11"/>
      <c r="AC100" s="777"/>
      <c r="AD100" s="778"/>
      <c r="AE100" s="778"/>
      <c r="AF100" s="778"/>
      <c r="AG100" s="778"/>
      <c r="AH100" s="778"/>
      <c r="AI100" s="778"/>
      <c r="AJ100" s="778"/>
      <c r="AK100" s="778"/>
      <c r="AL100" s="778"/>
      <c r="AM100" s="778"/>
      <c r="AN100" s="778"/>
      <c r="AO100" s="778"/>
      <c r="AP100" s="778"/>
      <c r="AQ100" s="778"/>
      <c r="AR100" s="778"/>
      <c r="AS100" s="778"/>
      <c r="AT100" s="778"/>
      <c r="AU100" s="778"/>
      <c r="AV100" s="778"/>
      <c r="AW100" s="779"/>
      <c r="BB100" s="139">
        <v>23</v>
      </c>
      <c r="BC100" s="199">
        <f>Proposta_Constr_Individual!AO167</f>
        <v>0</v>
      </c>
      <c r="BD100" s="143"/>
      <c r="BE100" s="144">
        <f t="shared" si="0"/>
        <v>0</v>
      </c>
      <c r="BF100" s="145">
        <f t="shared" si="1"/>
        <v>0</v>
      </c>
      <c r="BH100" s="55"/>
    </row>
    <row r="101" spans="1:63" ht="11.1" customHeight="1" x14ac:dyDescent="0.25">
      <c r="C101" s="8"/>
      <c r="D101" s="8"/>
      <c r="F101" s="54"/>
      <c r="G101" s="685" t="s">
        <v>64</v>
      </c>
      <c r="H101" s="686"/>
      <c r="I101" s="686" t="s">
        <v>64</v>
      </c>
      <c r="J101" s="686"/>
      <c r="K101" s="686"/>
      <c r="L101" s="686"/>
      <c r="M101" s="686"/>
      <c r="N101" s="686"/>
      <c r="O101" s="686"/>
      <c r="P101" s="686"/>
      <c r="Q101" s="686"/>
      <c r="R101" s="687"/>
      <c r="S101" s="680">
        <f>Proposta_Constr_Individual!X116</f>
        <v>0</v>
      </c>
      <c r="T101" s="680"/>
      <c r="U101" s="680"/>
      <c r="V101" s="681"/>
      <c r="W101" s="682"/>
      <c r="X101" s="683"/>
      <c r="Y101" s="684">
        <f t="shared" si="2"/>
        <v>0</v>
      </c>
      <c r="Z101" s="684"/>
      <c r="AA101" s="684"/>
      <c r="AB101" s="11"/>
      <c r="AC101" s="664" t="str">
        <f>IF($AS$85="Não","Conforme contrato firmado, o adesivo de obras deve permancer afixado na obra em local de fácil visualização e sua ausência pode configurar impedimento para desembolso.",(IF($AS$85="Sim","O Adesivo afixado deverá aparecer em ao menos uma das fotos do Relatório Fotográfico.","")))</f>
        <v/>
      </c>
      <c r="AD101" s="788"/>
      <c r="AE101" s="788"/>
      <c r="AF101" s="788"/>
      <c r="AG101" s="788"/>
      <c r="AH101" s="788"/>
      <c r="AI101" s="788"/>
      <c r="AJ101" s="788"/>
      <c r="AK101" s="788"/>
      <c r="AL101" s="788"/>
      <c r="AM101" s="788"/>
      <c r="AN101" s="788"/>
      <c r="AO101" s="788"/>
      <c r="AP101" s="788"/>
      <c r="AQ101" s="788"/>
      <c r="AR101" s="788"/>
      <c r="AS101" s="788"/>
      <c r="AT101" s="788"/>
      <c r="AU101" s="788"/>
      <c r="AV101" s="788"/>
      <c r="AW101" s="666"/>
      <c r="BB101" s="139">
        <v>24</v>
      </c>
      <c r="BC101" s="199">
        <f>Proposta_Constr_Individual!AO168</f>
        <v>0</v>
      </c>
      <c r="BD101" s="143"/>
      <c r="BE101" s="144">
        <f t="shared" si="0"/>
        <v>0</v>
      </c>
      <c r="BF101" s="145">
        <f t="shared" si="1"/>
        <v>0</v>
      </c>
      <c r="BH101" s="55"/>
    </row>
    <row r="102" spans="1:63" ht="11.1" customHeight="1" x14ac:dyDescent="0.25">
      <c r="C102" s="8"/>
      <c r="D102" s="8"/>
      <c r="F102" s="54"/>
      <c r="G102" s="685" t="s">
        <v>402</v>
      </c>
      <c r="H102" s="686"/>
      <c r="I102" s="686" t="s">
        <v>402</v>
      </c>
      <c r="J102" s="686"/>
      <c r="K102" s="686"/>
      <c r="L102" s="686"/>
      <c r="M102" s="686"/>
      <c r="N102" s="686"/>
      <c r="O102" s="686"/>
      <c r="P102" s="686"/>
      <c r="Q102" s="686"/>
      <c r="R102" s="687"/>
      <c r="S102" s="680">
        <f>Proposta_Constr_Individual!X117</f>
        <v>0</v>
      </c>
      <c r="T102" s="680"/>
      <c r="U102" s="680"/>
      <c r="V102" s="681"/>
      <c r="W102" s="682"/>
      <c r="X102" s="683"/>
      <c r="Y102" s="684">
        <f t="shared" si="2"/>
        <v>0</v>
      </c>
      <c r="Z102" s="684"/>
      <c r="AA102" s="684"/>
      <c r="AB102" s="11"/>
      <c r="AC102" s="664"/>
      <c r="AD102" s="788"/>
      <c r="AE102" s="788"/>
      <c r="AF102" s="788"/>
      <c r="AG102" s="788"/>
      <c r="AH102" s="788"/>
      <c r="AI102" s="788"/>
      <c r="AJ102" s="788"/>
      <c r="AK102" s="788"/>
      <c r="AL102" s="788"/>
      <c r="AM102" s="788"/>
      <c r="AN102" s="788"/>
      <c r="AO102" s="788"/>
      <c r="AP102" s="788"/>
      <c r="AQ102" s="788"/>
      <c r="AR102" s="788"/>
      <c r="AS102" s="788"/>
      <c r="AT102" s="788"/>
      <c r="AU102" s="788"/>
      <c r="AV102" s="788"/>
      <c r="AW102" s="666"/>
      <c r="BB102" s="139">
        <v>25</v>
      </c>
      <c r="BC102" s="199">
        <f>Proposta_Constr_Individual!AO169</f>
        <v>0</v>
      </c>
      <c r="BD102" s="143"/>
      <c r="BE102" s="144">
        <f t="shared" si="0"/>
        <v>0</v>
      </c>
      <c r="BF102" s="145">
        <f t="shared" si="1"/>
        <v>0</v>
      </c>
      <c r="BH102" s="55"/>
    </row>
    <row r="103" spans="1:63" ht="11.1" customHeight="1" x14ac:dyDescent="0.25">
      <c r="C103" s="8"/>
      <c r="D103" s="8"/>
      <c r="F103" s="54"/>
      <c r="G103" s="685" t="s">
        <v>403</v>
      </c>
      <c r="H103" s="686"/>
      <c r="I103" s="686" t="s">
        <v>403</v>
      </c>
      <c r="J103" s="686"/>
      <c r="K103" s="686"/>
      <c r="L103" s="686"/>
      <c r="M103" s="686"/>
      <c r="N103" s="686"/>
      <c r="O103" s="686"/>
      <c r="P103" s="686"/>
      <c r="Q103" s="686"/>
      <c r="R103" s="687"/>
      <c r="S103" s="680">
        <f>Proposta_Constr_Individual!X118</f>
        <v>0</v>
      </c>
      <c r="T103" s="680"/>
      <c r="U103" s="680"/>
      <c r="V103" s="681"/>
      <c r="W103" s="682"/>
      <c r="X103" s="683"/>
      <c r="Y103" s="688">
        <f t="shared" si="2"/>
        <v>0</v>
      </c>
      <c r="Z103" s="688"/>
      <c r="AA103" s="688"/>
      <c r="AB103" s="11"/>
      <c r="AC103" s="664"/>
      <c r="AD103" s="665"/>
      <c r="AE103" s="665"/>
      <c r="AF103" s="665"/>
      <c r="AG103" s="665"/>
      <c r="AH103" s="665"/>
      <c r="AI103" s="665"/>
      <c r="AJ103" s="665"/>
      <c r="AK103" s="665"/>
      <c r="AL103" s="665"/>
      <c r="AM103" s="665"/>
      <c r="AN103" s="665"/>
      <c r="AO103" s="665"/>
      <c r="AP103" s="665"/>
      <c r="AQ103" s="665"/>
      <c r="AR103" s="665"/>
      <c r="AS103" s="665"/>
      <c r="AT103" s="665"/>
      <c r="AU103" s="665"/>
      <c r="AV103" s="665"/>
      <c r="AW103" s="666"/>
      <c r="BB103" s="139">
        <v>26</v>
      </c>
      <c r="BC103" s="199">
        <f>Proposta_Constr_Individual!AO170</f>
        <v>0</v>
      </c>
      <c r="BD103" s="143"/>
      <c r="BE103" s="144">
        <f t="shared" si="0"/>
        <v>0</v>
      </c>
      <c r="BF103" s="145">
        <f t="shared" si="1"/>
        <v>0</v>
      </c>
    </row>
    <row r="104" spans="1:63" ht="11.1" customHeight="1" x14ac:dyDescent="0.25">
      <c r="C104" s="8"/>
      <c r="D104" s="8"/>
      <c r="F104" s="54"/>
      <c r="G104" s="647" t="s">
        <v>484</v>
      </c>
      <c r="H104" s="648"/>
      <c r="I104" s="648"/>
      <c r="J104" s="648"/>
      <c r="K104" s="648"/>
      <c r="L104" s="648"/>
      <c r="M104" s="648"/>
      <c r="N104" s="648"/>
      <c r="O104" s="648"/>
      <c r="P104" s="648"/>
      <c r="Q104" s="648"/>
      <c r="R104" s="649"/>
      <c r="S104" s="643">
        <f>SUM(S84:U103)</f>
        <v>0</v>
      </c>
      <c r="T104" s="643"/>
      <c r="U104" s="643"/>
      <c r="V104" s="644"/>
      <c r="W104" s="644"/>
      <c r="X104" s="644"/>
      <c r="Y104" s="645">
        <f>SUM(Y84:AA103)</f>
        <v>0</v>
      </c>
      <c r="Z104" s="646"/>
      <c r="AA104" s="646"/>
      <c r="AB104" s="11"/>
      <c r="AC104" s="661" t="e">
        <f ca="1">IF($AK$81=0,"",(IF($AQ$92="Atrasada","OBRA EM ATRASO - O CRONOGRAMA NECESSITA DE REPROGRAMAÇÃO",IF($AQ$92="adiantada","OBRA ADIANTADA, AVALIAR COM SUA UNIDADE DE RELACIONAMENTO AS OPÇÕES DE DESEMBOLSO E DE REPROGRAMAÇÃO",IF($AS$91&gt;$AS$82,"OBRA COM PRAZO VENCIDO, NECESSÁRIO REPROGRAMAR O CRONOGRAMA CASO O PERCENTUAL ACUMULADO DE EVOLUÇÃO SEJA INFERIOR A 100%","")))))</f>
        <v>#NAME?</v>
      </c>
      <c r="AD104" s="662"/>
      <c r="AE104" s="662"/>
      <c r="AF104" s="662"/>
      <c r="AG104" s="662"/>
      <c r="AH104" s="662"/>
      <c r="AI104" s="662"/>
      <c r="AJ104" s="662"/>
      <c r="AK104" s="662"/>
      <c r="AL104" s="662"/>
      <c r="AM104" s="662"/>
      <c r="AN104" s="662"/>
      <c r="AO104" s="662"/>
      <c r="AP104" s="662"/>
      <c r="AQ104" s="662"/>
      <c r="AR104" s="662"/>
      <c r="AS104" s="662"/>
      <c r="AT104" s="662"/>
      <c r="AU104" s="662"/>
      <c r="AV104" s="662"/>
      <c r="AW104" s="663"/>
      <c r="BB104" s="139">
        <v>27</v>
      </c>
      <c r="BC104" s="199">
        <f>Proposta_Constr_Individual!AO171</f>
        <v>0</v>
      </c>
      <c r="BD104" s="143"/>
      <c r="BE104" s="144">
        <f t="shared" si="0"/>
        <v>0</v>
      </c>
      <c r="BF104" s="145">
        <f t="shared" si="1"/>
        <v>0</v>
      </c>
      <c r="BH104" s="56"/>
    </row>
    <row r="105" spans="1:63" ht="11.1" customHeight="1" x14ac:dyDescent="0.25">
      <c r="C105" s="8"/>
      <c r="D105" s="8"/>
      <c r="F105" s="54"/>
      <c r="G105" s="771" t="s">
        <v>404</v>
      </c>
      <c r="H105" s="772"/>
      <c r="I105" s="772"/>
      <c r="J105" s="772"/>
      <c r="K105" s="772"/>
      <c r="L105" s="772"/>
      <c r="M105" s="772"/>
      <c r="N105" s="772"/>
      <c r="O105" s="772"/>
      <c r="P105" s="772"/>
      <c r="Q105" s="772"/>
      <c r="R105" s="773"/>
      <c r="S105" s="644"/>
      <c r="T105" s="644"/>
      <c r="U105" s="644"/>
      <c r="V105" s="670"/>
      <c r="W105" s="671"/>
      <c r="X105" s="671"/>
      <c r="Y105" s="672">
        <v>0</v>
      </c>
      <c r="Z105" s="673"/>
      <c r="AA105" s="674"/>
      <c r="AB105" s="11"/>
      <c r="AC105" s="664"/>
      <c r="AD105" s="665"/>
      <c r="AE105" s="665"/>
      <c r="AF105" s="665"/>
      <c r="AG105" s="665"/>
      <c r="AH105" s="665"/>
      <c r="AI105" s="665"/>
      <c r="AJ105" s="665"/>
      <c r="AK105" s="665"/>
      <c r="AL105" s="665"/>
      <c r="AM105" s="665"/>
      <c r="AN105" s="665"/>
      <c r="AO105" s="665"/>
      <c r="AP105" s="665"/>
      <c r="AQ105" s="665"/>
      <c r="AR105" s="665"/>
      <c r="AS105" s="665"/>
      <c r="AT105" s="665"/>
      <c r="AU105" s="665"/>
      <c r="AV105" s="665"/>
      <c r="AW105" s="666"/>
      <c r="BB105" s="139">
        <v>28</v>
      </c>
      <c r="BC105" s="199">
        <f>Proposta_Constr_Individual!AO172</f>
        <v>0</v>
      </c>
      <c r="BD105" s="143"/>
      <c r="BE105" s="144">
        <f t="shared" ref="BE105:BE113" si="3">BD105+BE104</f>
        <v>0</v>
      </c>
      <c r="BF105" s="145">
        <f t="shared" si="1"/>
        <v>0</v>
      </c>
      <c r="BH105" s="152"/>
    </row>
    <row r="106" spans="1:63" ht="11.1" customHeight="1" x14ac:dyDescent="0.25">
      <c r="C106" s="8"/>
      <c r="D106" s="8"/>
      <c r="F106" s="54"/>
      <c r="G106" s="774"/>
      <c r="H106" s="775"/>
      <c r="I106" s="775"/>
      <c r="J106" s="775"/>
      <c r="K106" s="775"/>
      <c r="L106" s="775"/>
      <c r="M106" s="775"/>
      <c r="N106" s="775"/>
      <c r="O106" s="775"/>
      <c r="P106" s="775"/>
      <c r="Q106" s="775"/>
      <c r="R106" s="776"/>
      <c r="S106" s="644"/>
      <c r="T106" s="644"/>
      <c r="U106" s="644"/>
      <c r="V106" s="671"/>
      <c r="W106" s="671"/>
      <c r="X106" s="671"/>
      <c r="Y106" s="675"/>
      <c r="Z106" s="676"/>
      <c r="AA106" s="677"/>
      <c r="AB106" s="11"/>
      <c r="AC106" s="664"/>
      <c r="AD106" s="665"/>
      <c r="AE106" s="665"/>
      <c r="AF106" s="665"/>
      <c r="AG106" s="665"/>
      <c r="AH106" s="665"/>
      <c r="AI106" s="665"/>
      <c r="AJ106" s="665"/>
      <c r="AK106" s="665"/>
      <c r="AL106" s="665"/>
      <c r="AM106" s="665"/>
      <c r="AN106" s="665"/>
      <c r="AO106" s="665"/>
      <c r="AP106" s="665"/>
      <c r="AQ106" s="665"/>
      <c r="AR106" s="665"/>
      <c r="AS106" s="665"/>
      <c r="AT106" s="665"/>
      <c r="AU106" s="665"/>
      <c r="AV106" s="665"/>
      <c r="AW106" s="666"/>
      <c r="BB106" s="139">
        <v>29</v>
      </c>
      <c r="BC106" s="199">
        <f>Proposta_Constr_Individual!AO173</f>
        <v>0</v>
      </c>
      <c r="BD106" s="143"/>
      <c r="BE106" s="144">
        <f t="shared" si="3"/>
        <v>0</v>
      </c>
      <c r="BF106" s="145">
        <f t="shared" si="1"/>
        <v>0</v>
      </c>
    </row>
    <row r="107" spans="1:63" ht="11.1" customHeight="1" x14ac:dyDescent="0.25">
      <c r="C107" s="8"/>
      <c r="D107" s="8"/>
      <c r="F107" s="54"/>
      <c r="G107" s="647" t="s">
        <v>405</v>
      </c>
      <c r="H107" s="648"/>
      <c r="I107" s="648"/>
      <c r="J107" s="648"/>
      <c r="K107" s="648"/>
      <c r="L107" s="648"/>
      <c r="M107" s="648"/>
      <c r="N107" s="648"/>
      <c r="O107" s="648"/>
      <c r="P107" s="648"/>
      <c r="Q107" s="648"/>
      <c r="R107" s="649"/>
      <c r="S107" s="644"/>
      <c r="T107" s="644"/>
      <c r="U107" s="644"/>
      <c r="V107" s="644"/>
      <c r="W107" s="644"/>
      <c r="X107" s="644"/>
      <c r="Y107" s="678">
        <f>Y104-Y105</f>
        <v>0</v>
      </c>
      <c r="Z107" s="679"/>
      <c r="AA107" s="679"/>
      <c r="AB107" s="11"/>
      <c r="AC107" s="667"/>
      <c r="AD107" s="668"/>
      <c r="AE107" s="668"/>
      <c r="AF107" s="668"/>
      <c r="AG107" s="668"/>
      <c r="AH107" s="668"/>
      <c r="AI107" s="668"/>
      <c r="AJ107" s="668"/>
      <c r="AK107" s="668"/>
      <c r="AL107" s="668"/>
      <c r="AM107" s="668"/>
      <c r="AN107" s="668"/>
      <c r="AO107" s="668"/>
      <c r="AP107" s="668"/>
      <c r="AQ107" s="668"/>
      <c r="AR107" s="668"/>
      <c r="AS107" s="668"/>
      <c r="AT107" s="668"/>
      <c r="AU107" s="668"/>
      <c r="AV107" s="668"/>
      <c r="AW107" s="669"/>
      <c r="BB107" s="139">
        <v>30</v>
      </c>
      <c r="BC107" s="199">
        <f>Proposta_Constr_Individual!AO174</f>
        <v>0</v>
      </c>
      <c r="BD107" s="143"/>
      <c r="BE107" s="144">
        <f t="shared" si="3"/>
        <v>0</v>
      </c>
      <c r="BF107" s="145">
        <f t="shared" si="1"/>
        <v>0</v>
      </c>
    </row>
    <row r="108" spans="1:63" s="42" customFormat="1" ht="10.199999999999999" customHeight="1" x14ac:dyDescent="0.25">
      <c r="A108" s="8"/>
      <c r="B108" s="8"/>
      <c r="C108" s="8"/>
      <c r="D108"/>
      <c r="E108" s="9" t="s">
        <v>9</v>
      </c>
      <c r="F108" s="12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X108" s="59"/>
      <c r="AZ108" s="11"/>
      <c r="BA108"/>
      <c r="BB108" s="139">
        <v>31</v>
      </c>
      <c r="BC108" s="199">
        <f>Proposta_Constr_Individual!AO175</f>
        <v>0</v>
      </c>
      <c r="BD108" s="143"/>
      <c r="BE108" s="144">
        <f t="shared" si="3"/>
        <v>0</v>
      </c>
      <c r="BF108" s="145">
        <f t="shared" ref="BF108:BF113" si="4">IF(OR(BE108+BE107=200,BE108+BE107=0),0,DATE(YEAR(BF107),MONTH(BF107)+1,DAY(BF107)))</f>
        <v>0</v>
      </c>
      <c r="BG108" s="11"/>
      <c r="BH108" s="11"/>
      <c r="BI108" s="11"/>
      <c r="BK108" s="12"/>
    </row>
    <row r="109" spans="1:63" ht="11.1" customHeight="1" thickBot="1" x14ac:dyDescent="0.3">
      <c r="C109" s="8"/>
      <c r="D109" s="8"/>
      <c r="F109" s="47"/>
      <c r="G109" s="48" t="s">
        <v>65</v>
      </c>
      <c r="H109" s="47"/>
      <c r="I109" s="47"/>
      <c r="J109" s="47"/>
      <c r="K109" s="47"/>
      <c r="L109" s="47"/>
      <c r="M109" s="47"/>
      <c r="N109" s="47"/>
      <c r="O109" s="47"/>
      <c r="P109" s="47"/>
      <c r="Q109" s="47"/>
      <c r="R109" s="47"/>
      <c r="S109" s="47"/>
      <c r="T109" s="47"/>
      <c r="U109" s="47"/>
      <c r="V109" s="47"/>
      <c r="W109" s="47"/>
      <c r="X109" s="47"/>
      <c r="Y109" s="47"/>
      <c r="Z109" s="47"/>
      <c r="AA109" s="47"/>
      <c r="AB109" s="47"/>
      <c r="AC109" s="47"/>
      <c r="AD109" s="47"/>
      <c r="AE109" s="47"/>
      <c r="AF109" s="47"/>
      <c r="AG109" s="47"/>
      <c r="AH109" s="47"/>
      <c r="AI109" s="47"/>
      <c r="AJ109" s="47"/>
      <c r="AK109" s="47"/>
      <c r="AL109" s="47"/>
      <c r="AM109" s="47"/>
      <c r="AN109" s="47"/>
      <c r="AO109" s="47"/>
      <c r="AP109" s="47"/>
      <c r="AQ109" s="47"/>
      <c r="AR109" s="47"/>
      <c r="AS109" s="47"/>
      <c r="AT109" s="47"/>
      <c r="AU109" s="47"/>
      <c r="AV109" s="47"/>
      <c r="AW109" s="47"/>
      <c r="AX109" s="49"/>
      <c r="AZ109" s="12"/>
      <c r="BB109" s="139">
        <v>32</v>
      </c>
      <c r="BC109" s="199">
        <f>Proposta_Constr_Individual!AO176</f>
        <v>0</v>
      </c>
      <c r="BD109" s="143"/>
      <c r="BE109" s="144">
        <f t="shared" si="3"/>
        <v>0</v>
      </c>
      <c r="BF109" s="145">
        <f t="shared" si="4"/>
        <v>0</v>
      </c>
      <c r="BH109" s="56"/>
    </row>
    <row r="110" spans="1:63" s="42" customFormat="1" ht="11.4" customHeight="1" x14ac:dyDescent="0.25">
      <c r="A110" s="8"/>
      <c r="B110" s="8"/>
      <c r="C110" s="8"/>
      <c r="D110"/>
      <c r="E110" s="9" t="s">
        <v>9</v>
      </c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X110" s="59"/>
      <c r="AZ110" s="11"/>
      <c r="BA110"/>
      <c r="BB110" s="139">
        <v>33</v>
      </c>
      <c r="BC110" s="199">
        <f>Proposta_Constr_Individual!AO177</f>
        <v>0</v>
      </c>
      <c r="BD110" s="143"/>
      <c r="BE110" s="144">
        <f t="shared" si="3"/>
        <v>0</v>
      </c>
      <c r="BF110" s="145">
        <f t="shared" si="4"/>
        <v>0</v>
      </c>
      <c r="BG110" s="11"/>
      <c r="BH110" s="11"/>
      <c r="BI110" s="11"/>
      <c r="BK110" s="12"/>
    </row>
    <row r="111" spans="1:63" ht="11.1" customHeight="1" x14ac:dyDescent="0.25">
      <c r="C111" s="8"/>
      <c r="D111" s="8"/>
      <c r="F111" s="54"/>
      <c r="G111" s="619"/>
      <c r="H111" s="620"/>
      <c r="I111" s="620"/>
      <c r="J111" s="620"/>
      <c r="K111" s="620"/>
      <c r="L111" s="620"/>
      <c r="M111" s="620"/>
      <c r="N111" s="620"/>
      <c r="O111" s="620"/>
      <c r="P111" s="620"/>
      <c r="Q111" s="620"/>
      <c r="R111" s="620"/>
      <c r="S111" s="620"/>
      <c r="T111" s="620"/>
      <c r="U111" s="620"/>
      <c r="V111" s="620"/>
      <c r="W111" s="620"/>
      <c r="X111" s="620"/>
      <c r="Y111" s="620"/>
      <c r="Z111" s="620"/>
      <c r="AA111" s="621"/>
      <c r="AB111"/>
      <c r="AC111" s="619"/>
      <c r="AD111" s="620"/>
      <c r="AE111" s="620"/>
      <c r="AF111" s="620"/>
      <c r="AG111" s="620"/>
      <c r="AH111" s="620"/>
      <c r="AI111" s="620"/>
      <c r="AJ111" s="620"/>
      <c r="AK111" s="620"/>
      <c r="AL111" s="620"/>
      <c r="AM111" s="620"/>
      <c r="AN111" s="620"/>
      <c r="AO111" s="620"/>
      <c r="AP111" s="620"/>
      <c r="AQ111" s="620"/>
      <c r="AR111" s="620"/>
      <c r="AS111" s="620"/>
      <c r="AT111" s="620"/>
      <c r="AU111" s="620"/>
      <c r="AV111" s="620"/>
      <c r="AW111" s="621"/>
      <c r="AY111" s="11"/>
      <c r="BB111" s="139">
        <v>34</v>
      </c>
      <c r="BC111" s="199">
        <f>Proposta_Constr_Individual!AO178</f>
        <v>0</v>
      </c>
      <c r="BD111" s="143"/>
      <c r="BE111" s="144">
        <f t="shared" si="3"/>
        <v>0</v>
      </c>
      <c r="BF111" s="145">
        <f t="shared" si="4"/>
        <v>0</v>
      </c>
      <c r="BG111" s="56"/>
      <c r="BI111" s="12"/>
      <c r="BJ111" s="42"/>
    </row>
    <row r="112" spans="1:63" ht="11.1" customHeight="1" x14ac:dyDescent="0.25">
      <c r="C112" s="8"/>
      <c r="D112" s="8"/>
      <c r="F112" s="54"/>
      <c r="G112" s="622"/>
      <c r="H112" s="623"/>
      <c r="I112" s="623"/>
      <c r="J112" s="623"/>
      <c r="K112" s="623"/>
      <c r="L112" s="623"/>
      <c r="M112" s="623"/>
      <c r="N112" s="623"/>
      <c r="O112" s="623"/>
      <c r="P112" s="623"/>
      <c r="Q112" s="623"/>
      <c r="R112" s="623"/>
      <c r="S112" s="623"/>
      <c r="T112" s="623"/>
      <c r="U112" s="623"/>
      <c r="V112" s="623"/>
      <c r="W112" s="623"/>
      <c r="X112" s="623"/>
      <c r="Y112" s="623"/>
      <c r="Z112" s="623"/>
      <c r="AA112" s="624"/>
      <c r="AB112"/>
      <c r="AC112" s="622"/>
      <c r="AD112" s="623"/>
      <c r="AE112" s="623"/>
      <c r="AF112" s="623"/>
      <c r="AG112" s="623"/>
      <c r="AH112" s="623"/>
      <c r="AI112" s="623"/>
      <c r="AJ112" s="623"/>
      <c r="AK112" s="623"/>
      <c r="AL112" s="623"/>
      <c r="AM112" s="623"/>
      <c r="AN112" s="623"/>
      <c r="AO112" s="623"/>
      <c r="AP112" s="623"/>
      <c r="AQ112" s="623"/>
      <c r="AR112" s="623"/>
      <c r="AS112" s="623"/>
      <c r="AT112" s="623"/>
      <c r="AU112" s="623"/>
      <c r="AV112" s="623"/>
      <c r="AW112" s="624"/>
      <c r="AY112" s="11"/>
      <c r="BB112" s="139">
        <v>35</v>
      </c>
      <c r="BC112" s="199">
        <f>Proposta_Constr_Individual!AO179</f>
        <v>0</v>
      </c>
      <c r="BD112" s="143"/>
      <c r="BE112" s="144">
        <f t="shared" si="3"/>
        <v>0</v>
      </c>
      <c r="BF112" s="145">
        <f t="shared" si="4"/>
        <v>0</v>
      </c>
      <c r="BG112" s="56"/>
      <c r="BI112" s="12"/>
    </row>
    <row r="113" spans="3:61" ht="11.1" customHeight="1" x14ac:dyDescent="0.25">
      <c r="C113" s="8"/>
      <c r="D113" s="8"/>
      <c r="F113" s="54"/>
      <c r="G113" s="622"/>
      <c r="H113" s="623"/>
      <c r="I113" s="623"/>
      <c r="J113" s="623"/>
      <c r="K113" s="623"/>
      <c r="L113" s="623"/>
      <c r="M113" s="623"/>
      <c r="N113" s="623"/>
      <c r="O113" s="623"/>
      <c r="P113" s="623"/>
      <c r="Q113" s="623"/>
      <c r="R113" s="623"/>
      <c r="S113" s="623"/>
      <c r="T113" s="623"/>
      <c r="U113" s="623"/>
      <c r="V113" s="623"/>
      <c r="W113" s="623"/>
      <c r="X113" s="623"/>
      <c r="Y113" s="623"/>
      <c r="Z113" s="623"/>
      <c r="AA113" s="624"/>
      <c r="AB113"/>
      <c r="AC113" s="622"/>
      <c r="AD113" s="623"/>
      <c r="AE113" s="623"/>
      <c r="AF113" s="623"/>
      <c r="AG113" s="623"/>
      <c r="AH113" s="623"/>
      <c r="AI113" s="623"/>
      <c r="AJ113" s="623"/>
      <c r="AK113" s="623"/>
      <c r="AL113" s="623"/>
      <c r="AM113" s="623"/>
      <c r="AN113" s="623"/>
      <c r="AO113" s="623"/>
      <c r="AP113" s="623"/>
      <c r="AQ113" s="623"/>
      <c r="AR113" s="623"/>
      <c r="AS113" s="623"/>
      <c r="AT113" s="623"/>
      <c r="AU113" s="623"/>
      <c r="AV113" s="623"/>
      <c r="AW113" s="624"/>
      <c r="AY113" s="11"/>
      <c r="BB113" s="139">
        <v>36</v>
      </c>
      <c r="BC113" s="199">
        <f>Proposta_Constr_Individual!AO180</f>
        <v>0</v>
      </c>
      <c r="BD113" s="143"/>
      <c r="BE113" s="144">
        <f t="shared" si="3"/>
        <v>0</v>
      </c>
      <c r="BF113" s="145">
        <f t="shared" si="4"/>
        <v>0</v>
      </c>
      <c r="BG113" s="56"/>
      <c r="BI113" s="12"/>
    </row>
    <row r="114" spans="3:61" ht="11.1" customHeight="1" x14ac:dyDescent="0.25">
      <c r="C114" s="8"/>
      <c r="D114" s="8"/>
      <c r="F114" s="54"/>
      <c r="G114" s="622"/>
      <c r="H114" s="623"/>
      <c r="I114" s="623"/>
      <c r="J114" s="623"/>
      <c r="K114" s="623"/>
      <c r="L114" s="623"/>
      <c r="M114" s="623"/>
      <c r="N114" s="623"/>
      <c r="O114" s="623"/>
      <c r="P114" s="623"/>
      <c r="Q114" s="623"/>
      <c r="R114" s="623"/>
      <c r="S114" s="623"/>
      <c r="T114" s="623"/>
      <c r="U114" s="623"/>
      <c r="V114" s="623"/>
      <c r="W114" s="623"/>
      <c r="X114" s="623"/>
      <c r="Y114" s="623"/>
      <c r="Z114" s="623"/>
      <c r="AA114" s="624"/>
      <c r="AB114"/>
      <c r="AC114" s="622"/>
      <c r="AD114" s="623"/>
      <c r="AE114" s="623"/>
      <c r="AF114" s="623"/>
      <c r="AG114" s="623"/>
      <c r="AH114" s="623"/>
      <c r="AI114" s="623"/>
      <c r="AJ114" s="623"/>
      <c r="AK114" s="623"/>
      <c r="AL114" s="623"/>
      <c r="AM114" s="623"/>
      <c r="AN114" s="623"/>
      <c r="AO114" s="623"/>
      <c r="AP114" s="623"/>
      <c r="AQ114" s="623"/>
      <c r="AR114" s="623"/>
      <c r="AS114" s="623"/>
      <c r="AT114" s="623"/>
      <c r="AU114" s="623"/>
      <c r="AV114" s="623"/>
      <c r="AW114" s="624"/>
      <c r="AY114" s="11"/>
      <c r="BI114" s="12"/>
    </row>
    <row r="115" spans="3:61" ht="11.1" customHeight="1" x14ac:dyDescent="0.25">
      <c r="C115" s="8"/>
      <c r="D115" s="8"/>
      <c r="F115" s="54"/>
      <c r="G115" s="622"/>
      <c r="H115" s="623"/>
      <c r="I115" s="623"/>
      <c r="J115" s="623"/>
      <c r="K115" s="623"/>
      <c r="L115" s="623"/>
      <c r="M115" s="623"/>
      <c r="N115" s="623"/>
      <c r="O115" s="623"/>
      <c r="P115" s="623"/>
      <c r="Q115" s="623"/>
      <c r="R115" s="623"/>
      <c r="S115" s="623"/>
      <c r="T115" s="623"/>
      <c r="U115" s="623"/>
      <c r="V115" s="623"/>
      <c r="W115" s="623"/>
      <c r="X115" s="623"/>
      <c r="Y115" s="623"/>
      <c r="Z115" s="623"/>
      <c r="AA115" s="624"/>
      <c r="AB115"/>
      <c r="AC115" s="622"/>
      <c r="AD115" s="623"/>
      <c r="AE115" s="623"/>
      <c r="AF115" s="623"/>
      <c r="AG115" s="623"/>
      <c r="AH115" s="623"/>
      <c r="AI115" s="623"/>
      <c r="AJ115" s="623"/>
      <c r="AK115" s="623"/>
      <c r="AL115" s="623"/>
      <c r="AM115" s="623"/>
      <c r="AN115" s="623"/>
      <c r="AO115" s="623"/>
      <c r="AP115" s="623"/>
      <c r="AQ115" s="623"/>
      <c r="AR115" s="623"/>
      <c r="AS115" s="623"/>
      <c r="AT115" s="623"/>
      <c r="AU115" s="623"/>
      <c r="AV115" s="623"/>
      <c r="AW115" s="624"/>
      <c r="AY115" s="11"/>
      <c r="BG115" s="55"/>
      <c r="BI115" s="12"/>
    </row>
    <row r="116" spans="3:61" ht="11.1" customHeight="1" x14ac:dyDescent="0.25">
      <c r="C116" s="8"/>
      <c r="D116" s="8"/>
      <c r="F116" s="54"/>
      <c r="G116" s="622"/>
      <c r="H116" s="623"/>
      <c r="I116" s="623"/>
      <c r="J116" s="623"/>
      <c r="K116" s="623"/>
      <c r="L116" s="623"/>
      <c r="M116" s="623"/>
      <c r="N116" s="623"/>
      <c r="O116" s="623"/>
      <c r="P116" s="623"/>
      <c r="Q116" s="623"/>
      <c r="R116" s="623"/>
      <c r="S116" s="623"/>
      <c r="T116" s="623"/>
      <c r="U116" s="623"/>
      <c r="V116" s="623"/>
      <c r="W116" s="623"/>
      <c r="X116" s="623"/>
      <c r="Y116" s="623"/>
      <c r="Z116" s="623"/>
      <c r="AA116" s="624"/>
      <c r="AB116"/>
      <c r="AC116" s="622"/>
      <c r="AD116" s="623"/>
      <c r="AE116" s="623"/>
      <c r="AF116" s="623"/>
      <c r="AG116" s="623"/>
      <c r="AH116" s="623"/>
      <c r="AI116" s="623"/>
      <c r="AJ116" s="623"/>
      <c r="AK116" s="623"/>
      <c r="AL116" s="623"/>
      <c r="AM116" s="623"/>
      <c r="AN116" s="623"/>
      <c r="AO116" s="623"/>
      <c r="AP116" s="623"/>
      <c r="AQ116" s="623"/>
      <c r="AR116" s="623"/>
      <c r="AS116" s="623"/>
      <c r="AT116" s="623"/>
      <c r="AU116" s="623"/>
      <c r="AV116" s="623"/>
      <c r="AW116" s="624"/>
      <c r="AY116" s="11"/>
      <c r="BB116" s="55"/>
      <c r="BG116" s="55"/>
      <c r="BI116" s="12"/>
    </row>
    <row r="117" spans="3:61" ht="11.1" customHeight="1" x14ac:dyDescent="0.25">
      <c r="C117" s="8"/>
      <c r="D117" s="8"/>
      <c r="F117" s="54"/>
      <c r="G117" s="622"/>
      <c r="H117" s="623"/>
      <c r="I117" s="623"/>
      <c r="J117" s="623"/>
      <c r="K117" s="623"/>
      <c r="L117" s="623"/>
      <c r="M117" s="623"/>
      <c r="N117" s="623"/>
      <c r="O117" s="623"/>
      <c r="P117" s="623"/>
      <c r="Q117" s="623"/>
      <c r="R117" s="623"/>
      <c r="S117" s="623"/>
      <c r="T117" s="623"/>
      <c r="U117" s="623"/>
      <c r="V117" s="623"/>
      <c r="W117" s="623"/>
      <c r="X117" s="623"/>
      <c r="Y117" s="623"/>
      <c r="Z117" s="623"/>
      <c r="AA117" s="624"/>
      <c r="AB117"/>
      <c r="AC117" s="622"/>
      <c r="AD117" s="623"/>
      <c r="AE117" s="623"/>
      <c r="AF117" s="623"/>
      <c r="AG117" s="623"/>
      <c r="AH117" s="623"/>
      <c r="AI117" s="623"/>
      <c r="AJ117" s="623"/>
      <c r="AK117" s="623"/>
      <c r="AL117" s="623"/>
      <c r="AM117" s="623"/>
      <c r="AN117" s="623"/>
      <c r="AO117" s="623"/>
      <c r="AP117" s="623"/>
      <c r="AQ117" s="623"/>
      <c r="AR117" s="623"/>
      <c r="AS117" s="623"/>
      <c r="AT117" s="623"/>
      <c r="AU117" s="623"/>
      <c r="AV117" s="623"/>
      <c r="AW117" s="624"/>
      <c r="AY117" s="11"/>
      <c r="BI117" s="12"/>
    </row>
    <row r="118" spans="3:61" ht="11.1" customHeight="1" x14ac:dyDescent="0.25">
      <c r="C118" s="8"/>
      <c r="D118" s="8"/>
      <c r="F118" s="54"/>
      <c r="G118" s="622"/>
      <c r="H118" s="623"/>
      <c r="I118" s="623"/>
      <c r="J118" s="623"/>
      <c r="K118" s="623"/>
      <c r="L118" s="623"/>
      <c r="M118" s="623"/>
      <c r="N118" s="623"/>
      <c r="O118" s="623"/>
      <c r="P118" s="623"/>
      <c r="Q118" s="623"/>
      <c r="R118" s="623"/>
      <c r="S118" s="623"/>
      <c r="T118" s="623"/>
      <c r="U118" s="623"/>
      <c r="V118" s="623"/>
      <c r="W118" s="623"/>
      <c r="X118" s="623"/>
      <c r="Y118" s="623"/>
      <c r="Z118" s="623"/>
      <c r="AA118" s="624"/>
      <c r="AB118"/>
      <c r="AC118" s="622"/>
      <c r="AD118" s="623"/>
      <c r="AE118" s="623"/>
      <c r="AF118" s="623"/>
      <c r="AG118" s="623"/>
      <c r="AH118" s="623"/>
      <c r="AI118" s="623"/>
      <c r="AJ118" s="623"/>
      <c r="AK118" s="623"/>
      <c r="AL118" s="623"/>
      <c r="AM118" s="623"/>
      <c r="AN118" s="623"/>
      <c r="AO118" s="623"/>
      <c r="AP118" s="623"/>
      <c r="AQ118" s="623"/>
      <c r="AR118" s="623"/>
      <c r="AS118" s="623"/>
      <c r="AT118" s="623"/>
      <c r="AU118" s="623"/>
      <c r="AV118" s="623"/>
      <c r="AW118" s="624"/>
      <c r="AY118" s="11"/>
      <c r="BI118" s="12"/>
    </row>
    <row r="119" spans="3:61" ht="11.1" customHeight="1" x14ac:dyDescent="0.25">
      <c r="C119" s="8"/>
      <c r="D119" s="8"/>
      <c r="F119" s="54"/>
      <c r="G119" s="622"/>
      <c r="H119" s="623"/>
      <c r="I119" s="623"/>
      <c r="J119" s="623"/>
      <c r="K119" s="623"/>
      <c r="L119" s="623"/>
      <c r="M119" s="623"/>
      <c r="N119" s="623"/>
      <c r="O119" s="623"/>
      <c r="P119" s="623"/>
      <c r="Q119" s="623"/>
      <c r="R119" s="623"/>
      <c r="S119" s="623"/>
      <c r="T119" s="623"/>
      <c r="U119" s="623"/>
      <c r="V119" s="623"/>
      <c r="W119" s="623"/>
      <c r="X119" s="623"/>
      <c r="Y119" s="623"/>
      <c r="Z119" s="623"/>
      <c r="AA119" s="624"/>
      <c r="AB119"/>
      <c r="AC119" s="622"/>
      <c r="AD119" s="623"/>
      <c r="AE119" s="623"/>
      <c r="AF119" s="623"/>
      <c r="AG119" s="623"/>
      <c r="AH119" s="623"/>
      <c r="AI119" s="623"/>
      <c r="AJ119" s="623"/>
      <c r="AK119" s="623"/>
      <c r="AL119" s="623"/>
      <c r="AM119" s="623"/>
      <c r="AN119" s="623"/>
      <c r="AO119" s="623"/>
      <c r="AP119" s="623"/>
      <c r="AQ119" s="623"/>
      <c r="AR119" s="623"/>
      <c r="AS119" s="623"/>
      <c r="AT119" s="623"/>
      <c r="AU119" s="623"/>
      <c r="AV119" s="623"/>
      <c r="AW119" s="624"/>
      <c r="AY119" s="11"/>
      <c r="BI119" s="12"/>
    </row>
    <row r="120" spans="3:61" ht="11.1" customHeight="1" x14ac:dyDescent="0.25">
      <c r="C120" s="8"/>
      <c r="D120" s="8"/>
      <c r="F120" s="54"/>
      <c r="G120" s="622"/>
      <c r="H120" s="623"/>
      <c r="I120" s="623"/>
      <c r="J120" s="623"/>
      <c r="K120" s="623"/>
      <c r="L120" s="623"/>
      <c r="M120" s="623"/>
      <c r="N120" s="623"/>
      <c r="O120" s="623"/>
      <c r="P120" s="623"/>
      <c r="Q120" s="623"/>
      <c r="R120" s="623"/>
      <c r="S120" s="623"/>
      <c r="T120" s="623"/>
      <c r="U120" s="623"/>
      <c r="V120" s="623"/>
      <c r="W120" s="623"/>
      <c r="X120" s="623"/>
      <c r="Y120" s="623"/>
      <c r="Z120" s="623"/>
      <c r="AA120" s="624"/>
      <c r="AB120"/>
      <c r="AC120" s="622"/>
      <c r="AD120" s="623"/>
      <c r="AE120" s="623"/>
      <c r="AF120" s="623"/>
      <c r="AG120" s="623"/>
      <c r="AH120" s="623"/>
      <c r="AI120" s="623"/>
      <c r="AJ120" s="623"/>
      <c r="AK120" s="623"/>
      <c r="AL120" s="623"/>
      <c r="AM120" s="623"/>
      <c r="AN120" s="623"/>
      <c r="AO120" s="623"/>
      <c r="AP120" s="623"/>
      <c r="AQ120" s="623"/>
      <c r="AR120" s="623"/>
      <c r="AS120" s="623"/>
      <c r="AT120" s="623"/>
      <c r="AU120" s="623"/>
      <c r="AV120" s="623"/>
      <c r="AW120" s="624"/>
      <c r="AY120" s="11"/>
      <c r="BI120" s="12"/>
    </row>
    <row r="121" spans="3:61" ht="11.1" customHeight="1" x14ac:dyDescent="0.25">
      <c r="C121" s="8"/>
      <c r="D121" s="8"/>
      <c r="F121" s="54"/>
      <c r="G121" s="622"/>
      <c r="H121" s="623"/>
      <c r="I121" s="623"/>
      <c r="J121" s="623"/>
      <c r="K121" s="623"/>
      <c r="L121" s="623"/>
      <c r="M121" s="623"/>
      <c r="N121" s="623"/>
      <c r="O121" s="623"/>
      <c r="P121" s="623"/>
      <c r="Q121" s="623"/>
      <c r="R121" s="623"/>
      <c r="S121" s="623"/>
      <c r="T121" s="623"/>
      <c r="U121" s="623"/>
      <c r="V121" s="623"/>
      <c r="W121" s="623"/>
      <c r="X121" s="623"/>
      <c r="Y121" s="623"/>
      <c r="Z121" s="623"/>
      <c r="AA121" s="624"/>
      <c r="AB121"/>
      <c r="AC121" s="622"/>
      <c r="AD121" s="623"/>
      <c r="AE121" s="623"/>
      <c r="AF121" s="623"/>
      <c r="AG121" s="623"/>
      <c r="AH121" s="623"/>
      <c r="AI121" s="623"/>
      <c r="AJ121" s="623"/>
      <c r="AK121" s="623"/>
      <c r="AL121" s="623"/>
      <c r="AM121" s="623"/>
      <c r="AN121" s="623"/>
      <c r="AO121" s="623"/>
      <c r="AP121" s="623"/>
      <c r="AQ121" s="623"/>
      <c r="AR121" s="623"/>
      <c r="AS121" s="623"/>
      <c r="AT121" s="623"/>
      <c r="AU121" s="623"/>
      <c r="AV121" s="623"/>
      <c r="AW121" s="624"/>
      <c r="AY121" s="11"/>
      <c r="BI121" s="12"/>
    </row>
    <row r="122" spans="3:61" ht="11.1" customHeight="1" x14ac:dyDescent="0.25">
      <c r="C122" s="8"/>
      <c r="D122" s="8"/>
      <c r="F122" s="54"/>
      <c r="G122" s="622"/>
      <c r="H122" s="623"/>
      <c r="I122" s="623"/>
      <c r="J122" s="623"/>
      <c r="K122" s="623"/>
      <c r="L122" s="623"/>
      <c r="M122" s="623"/>
      <c r="N122" s="623"/>
      <c r="O122" s="623"/>
      <c r="P122" s="623"/>
      <c r="Q122" s="623"/>
      <c r="R122" s="623"/>
      <c r="S122" s="623"/>
      <c r="T122" s="623"/>
      <c r="U122" s="623"/>
      <c r="V122" s="623"/>
      <c r="W122" s="623"/>
      <c r="X122" s="623"/>
      <c r="Y122" s="623"/>
      <c r="Z122" s="623"/>
      <c r="AA122" s="624"/>
      <c r="AB122"/>
      <c r="AC122" s="622"/>
      <c r="AD122" s="623"/>
      <c r="AE122" s="623"/>
      <c r="AF122" s="623"/>
      <c r="AG122" s="623"/>
      <c r="AH122" s="623"/>
      <c r="AI122" s="623"/>
      <c r="AJ122" s="623"/>
      <c r="AK122" s="623"/>
      <c r="AL122" s="623"/>
      <c r="AM122" s="623"/>
      <c r="AN122" s="623"/>
      <c r="AO122" s="623"/>
      <c r="AP122" s="623"/>
      <c r="AQ122" s="623"/>
      <c r="AR122" s="623"/>
      <c r="AS122" s="623"/>
      <c r="AT122" s="623"/>
      <c r="AU122" s="623"/>
      <c r="AV122" s="623"/>
      <c r="AW122" s="624"/>
      <c r="AY122" s="11"/>
      <c r="BI122" s="12"/>
    </row>
    <row r="123" spans="3:61" ht="11.1" customHeight="1" x14ac:dyDescent="0.25">
      <c r="C123" s="8"/>
      <c r="D123" s="8"/>
      <c r="F123" s="54"/>
      <c r="G123" s="622"/>
      <c r="H123" s="623"/>
      <c r="I123" s="623"/>
      <c r="J123" s="623"/>
      <c r="K123" s="623"/>
      <c r="L123" s="623"/>
      <c r="M123" s="623"/>
      <c r="N123" s="623"/>
      <c r="O123" s="623"/>
      <c r="P123" s="623"/>
      <c r="Q123" s="623"/>
      <c r="R123" s="623"/>
      <c r="S123" s="623"/>
      <c r="T123" s="623"/>
      <c r="U123" s="623"/>
      <c r="V123" s="623"/>
      <c r="W123" s="623"/>
      <c r="X123" s="623"/>
      <c r="Y123" s="623"/>
      <c r="Z123" s="623"/>
      <c r="AA123" s="624"/>
      <c r="AB123"/>
      <c r="AC123" s="622"/>
      <c r="AD123" s="623"/>
      <c r="AE123" s="623"/>
      <c r="AF123" s="623"/>
      <c r="AG123" s="623"/>
      <c r="AH123" s="623"/>
      <c r="AI123" s="623"/>
      <c r="AJ123" s="623"/>
      <c r="AK123" s="623"/>
      <c r="AL123" s="623"/>
      <c r="AM123" s="623"/>
      <c r="AN123" s="623"/>
      <c r="AO123" s="623"/>
      <c r="AP123" s="623"/>
      <c r="AQ123" s="623"/>
      <c r="AR123" s="623"/>
      <c r="AS123" s="623"/>
      <c r="AT123" s="623"/>
      <c r="AU123" s="623"/>
      <c r="AV123" s="623"/>
      <c r="AW123" s="624"/>
      <c r="AY123" s="11"/>
      <c r="BI123" s="12"/>
    </row>
    <row r="124" spans="3:61" ht="11.1" customHeight="1" x14ac:dyDescent="0.25">
      <c r="C124" s="8"/>
      <c r="D124" s="8"/>
      <c r="F124" s="54"/>
      <c r="G124" s="622"/>
      <c r="H124" s="623"/>
      <c r="I124" s="623"/>
      <c r="J124" s="623"/>
      <c r="K124" s="623"/>
      <c r="L124" s="623"/>
      <c r="M124" s="623"/>
      <c r="N124" s="623"/>
      <c r="O124" s="623"/>
      <c r="P124" s="623"/>
      <c r="Q124" s="623"/>
      <c r="R124" s="623"/>
      <c r="S124" s="623"/>
      <c r="T124" s="623"/>
      <c r="U124" s="623"/>
      <c r="V124" s="623"/>
      <c r="W124" s="623"/>
      <c r="X124" s="623"/>
      <c r="Y124" s="623"/>
      <c r="Z124" s="623"/>
      <c r="AA124" s="624"/>
      <c r="AB124"/>
      <c r="AC124" s="622"/>
      <c r="AD124" s="623"/>
      <c r="AE124" s="623"/>
      <c r="AF124" s="623"/>
      <c r="AG124" s="623"/>
      <c r="AH124" s="623"/>
      <c r="AI124" s="623"/>
      <c r="AJ124" s="623"/>
      <c r="AK124" s="623"/>
      <c r="AL124" s="623"/>
      <c r="AM124" s="623"/>
      <c r="AN124" s="623"/>
      <c r="AO124" s="623"/>
      <c r="AP124" s="623"/>
      <c r="AQ124" s="623"/>
      <c r="AR124" s="623"/>
      <c r="AS124" s="623"/>
      <c r="AT124" s="623"/>
      <c r="AU124" s="623"/>
      <c r="AV124" s="623"/>
      <c r="AW124" s="624"/>
      <c r="AY124" s="11"/>
      <c r="BI124" s="12"/>
    </row>
    <row r="125" spans="3:61" ht="11.1" customHeight="1" x14ac:dyDescent="0.25">
      <c r="C125" s="8"/>
      <c r="D125" s="8"/>
      <c r="F125" s="54"/>
      <c r="G125" s="625" t="s">
        <v>270</v>
      </c>
      <c r="H125" s="626"/>
      <c r="I125" s="626"/>
      <c r="J125" s="626"/>
      <c r="K125" s="626"/>
      <c r="L125" s="626"/>
      <c r="M125" s="626"/>
      <c r="N125" s="626"/>
      <c r="O125" s="626"/>
      <c r="P125" s="626"/>
      <c r="Q125" s="626"/>
      <c r="R125" s="626"/>
      <c r="S125" s="626"/>
      <c r="T125" s="626"/>
      <c r="U125" s="626"/>
      <c r="V125" s="626"/>
      <c r="W125" s="626"/>
      <c r="X125" s="626"/>
      <c r="Y125" s="626"/>
      <c r="Z125" s="626"/>
      <c r="AA125" s="627"/>
      <c r="AB125"/>
      <c r="AC125" s="625" t="s">
        <v>270</v>
      </c>
      <c r="AD125" s="626"/>
      <c r="AE125" s="626"/>
      <c r="AF125" s="626"/>
      <c r="AG125" s="626"/>
      <c r="AH125" s="626"/>
      <c r="AI125" s="626"/>
      <c r="AJ125" s="626"/>
      <c r="AK125" s="626"/>
      <c r="AL125" s="626"/>
      <c r="AM125" s="626"/>
      <c r="AN125" s="626"/>
      <c r="AO125" s="626"/>
      <c r="AP125" s="626"/>
      <c r="AQ125" s="626"/>
      <c r="AR125" s="626"/>
      <c r="AS125" s="626"/>
      <c r="AT125" s="626"/>
      <c r="AU125" s="626"/>
      <c r="AV125" s="626"/>
      <c r="AW125" s="627"/>
      <c r="AY125" s="11"/>
      <c r="BI125" s="12"/>
    </row>
    <row r="126" spans="3:61" ht="11.1" customHeight="1" x14ac:dyDescent="0.25">
      <c r="C126" s="8"/>
      <c r="D126" s="8"/>
      <c r="F126" s="54"/>
      <c r="G126" s="628"/>
      <c r="H126" s="629"/>
      <c r="I126" s="629"/>
      <c r="J126" s="629"/>
      <c r="K126" s="629"/>
      <c r="L126" s="629"/>
      <c r="M126" s="629"/>
      <c r="N126" s="629"/>
      <c r="O126" s="629"/>
      <c r="P126" s="629"/>
      <c r="Q126" s="629"/>
      <c r="R126" s="629"/>
      <c r="S126" s="629"/>
      <c r="T126" s="629"/>
      <c r="U126" s="629"/>
      <c r="V126" s="629"/>
      <c r="W126" s="629"/>
      <c r="X126" s="629"/>
      <c r="Y126" s="629"/>
      <c r="Z126" s="629"/>
      <c r="AA126" s="630"/>
      <c r="AB126"/>
      <c r="AC126" s="628"/>
      <c r="AD126" s="629"/>
      <c r="AE126" s="629"/>
      <c r="AF126" s="629"/>
      <c r="AG126" s="629"/>
      <c r="AH126" s="629"/>
      <c r="AI126" s="629"/>
      <c r="AJ126" s="629"/>
      <c r="AK126" s="629"/>
      <c r="AL126" s="629"/>
      <c r="AM126" s="629"/>
      <c r="AN126" s="629"/>
      <c r="AO126" s="629"/>
      <c r="AP126" s="629"/>
      <c r="AQ126" s="629"/>
      <c r="AR126" s="629"/>
      <c r="AS126" s="629"/>
      <c r="AT126" s="629"/>
      <c r="AU126" s="629"/>
      <c r="AV126" s="629"/>
      <c r="AW126" s="630"/>
      <c r="AY126" s="11"/>
      <c r="BI126" s="12"/>
    </row>
    <row r="127" spans="3:61" ht="11.1" customHeight="1" x14ac:dyDescent="0.25">
      <c r="C127" s="8"/>
      <c r="D127" s="8"/>
      <c r="F127" s="54"/>
      <c r="G127" s="619"/>
      <c r="H127" s="620"/>
      <c r="I127" s="620"/>
      <c r="J127" s="620"/>
      <c r="K127" s="620"/>
      <c r="L127" s="620"/>
      <c r="M127" s="620"/>
      <c r="N127" s="620"/>
      <c r="O127" s="620"/>
      <c r="P127" s="620"/>
      <c r="Q127" s="620"/>
      <c r="R127" s="620"/>
      <c r="S127" s="620"/>
      <c r="T127" s="620"/>
      <c r="U127" s="620"/>
      <c r="V127" s="620"/>
      <c r="W127" s="620"/>
      <c r="X127" s="620"/>
      <c r="Y127" s="620"/>
      <c r="Z127" s="620"/>
      <c r="AA127" s="621"/>
      <c r="AB127"/>
      <c r="AC127" s="619"/>
      <c r="AD127" s="620"/>
      <c r="AE127" s="620"/>
      <c r="AF127" s="620"/>
      <c r="AG127" s="620"/>
      <c r="AH127" s="620"/>
      <c r="AI127" s="620"/>
      <c r="AJ127" s="620"/>
      <c r="AK127" s="620"/>
      <c r="AL127" s="620"/>
      <c r="AM127" s="620"/>
      <c r="AN127" s="620"/>
      <c r="AO127" s="620"/>
      <c r="AP127" s="620"/>
      <c r="AQ127" s="620"/>
      <c r="AR127" s="620"/>
      <c r="AS127" s="620"/>
      <c r="AT127" s="620"/>
      <c r="AU127" s="620"/>
      <c r="AV127" s="620"/>
      <c r="AW127" s="621"/>
      <c r="AY127" s="11"/>
      <c r="BI127" s="12"/>
    </row>
    <row r="128" spans="3:61" ht="11.1" customHeight="1" x14ac:dyDescent="0.25">
      <c r="C128" s="8"/>
      <c r="D128" s="8"/>
      <c r="F128" s="54"/>
      <c r="G128" s="622"/>
      <c r="H128" s="623"/>
      <c r="I128" s="623"/>
      <c r="J128" s="623"/>
      <c r="K128" s="623"/>
      <c r="L128" s="623"/>
      <c r="M128" s="623"/>
      <c r="N128" s="623"/>
      <c r="O128" s="623"/>
      <c r="P128" s="623"/>
      <c r="Q128" s="623"/>
      <c r="R128" s="623"/>
      <c r="S128" s="623"/>
      <c r="T128" s="623"/>
      <c r="U128" s="623"/>
      <c r="V128" s="623"/>
      <c r="W128" s="623"/>
      <c r="X128" s="623"/>
      <c r="Y128" s="623"/>
      <c r="Z128" s="623"/>
      <c r="AA128" s="624"/>
      <c r="AB128"/>
      <c r="AC128" s="622"/>
      <c r="AD128" s="623"/>
      <c r="AE128" s="623"/>
      <c r="AF128" s="623"/>
      <c r="AG128" s="623"/>
      <c r="AH128" s="623"/>
      <c r="AI128" s="623"/>
      <c r="AJ128" s="623"/>
      <c r="AK128" s="623"/>
      <c r="AL128" s="623"/>
      <c r="AM128" s="623"/>
      <c r="AN128" s="623"/>
      <c r="AO128" s="623"/>
      <c r="AP128" s="623"/>
      <c r="AQ128" s="623"/>
      <c r="AR128" s="623"/>
      <c r="AS128" s="623"/>
      <c r="AT128" s="623"/>
      <c r="AU128" s="623"/>
      <c r="AV128" s="623"/>
      <c r="AW128" s="624"/>
      <c r="AY128" s="11"/>
      <c r="BI128" s="12"/>
    </row>
    <row r="129" spans="3:61" ht="11.1" customHeight="1" x14ac:dyDescent="0.25">
      <c r="C129" s="8"/>
      <c r="D129" s="8"/>
      <c r="F129" s="54"/>
      <c r="G129" s="622"/>
      <c r="H129" s="623"/>
      <c r="I129" s="623"/>
      <c r="J129" s="623"/>
      <c r="K129" s="623"/>
      <c r="L129" s="623"/>
      <c r="M129" s="623"/>
      <c r="N129" s="623"/>
      <c r="O129" s="623"/>
      <c r="P129" s="623"/>
      <c r="Q129" s="623"/>
      <c r="R129" s="623"/>
      <c r="S129" s="623"/>
      <c r="T129" s="623"/>
      <c r="U129" s="623"/>
      <c r="V129" s="623"/>
      <c r="W129" s="623"/>
      <c r="X129" s="623"/>
      <c r="Y129" s="623"/>
      <c r="Z129" s="623"/>
      <c r="AA129" s="624"/>
      <c r="AB129"/>
      <c r="AC129" s="622"/>
      <c r="AD129" s="623"/>
      <c r="AE129" s="623"/>
      <c r="AF129" s="623"/>
      <c r="AG129" s="623"/>
      <c r="AH129" s="623"/>
      <c r="AI129" s="623"/>
      <c r="AJ129" s="623"/>
      <c r="AK129" s="623"/>
      <c r="AL129" s="623"/>
      <c r="AM129" s="623"/>
      <c r="AN129" s="623"/>
      <c r="AO129" s="623"/>
      <c r="AP129" s="623"/>
      <c r="AQ129" s="623"/>
      <c r="AR129" s="623"/>
      <c r="AS129" s="623"/>
      <c r="AT129" s="623"/>
      <c r="AU129" s="623"/>
      <c r="AV129" s="623"/>
      <c r="AW129" s="624"/>
      <c r="AY129" s="11"/>
      <c r="BI129" s="12"/>
    </row>
    <row r="130" spans="3:61" ht="11.1" customHeight="1" x14ac:dyDescent="0.25">
      <c r="C130" s="8"/>
      <c r="D130" s="8"/>
      <c r="F130" s="54"/>
      <c r="G130" s="622"/>
      <c r="H130" s="623"/>
      <c r="I130" s="623"/>
      <c r="J130" s="623"/>
      <c r="K130" s="623"/>
      <c r="L130" s="623"/>
      <c r="M130" s="623"/>
      <c r="N130" s="623"/>
      <c r="O130" s="623"/>
      <c r="P130" s="623"/>
      <c r="Q130" s="623"/>
      <c r="R130" s="623"/>
      <c r="S130" s="623"/>
      <c r="T130" s="623"/>
      <c r="U130" s="623"/>
      <c r="V130" s="623"/>
      <c r="W130" s="623"/>
      <c r="X130" s="623"/>
      <c r="Y130" s="623"/>
      <c r="Z130" s="623"/>
      <c r="AA130" s="624"/>
      <c r="AB130"/>
      <c r="AC130" s="622"/>
      <c r="AD130" s="623"/>
      <c r="AE130" s="623"/>
      <c r="AF130" s="623"/>
      <c r="AG130" s="623"/>
      <c r="AH130" s="623"/>
      <c r="AI130" s="623"/>
      <c r="AJ130" s="623"/>
      <c r="AK130" s="623"/>
      <c r="AL130" s="623"/>
      <c r="AM130" s="623"/>
      <c r="AN130" s="623"/>
      <c r="AO130" s="623"/>
      <c r="AP130" s="623"/>
      <c r="AQ130" s="623"/>
      <c r="AR130" s="623"/>
      <c r="AS130" s="623"/>
      <c r="AT130" s="623"/>
      <c r="AU130" s="623"/>
      <c r="AV130" s="623"/>
      <c r="AW130" s="624"/>
      <c r="AY130" s="11"/>
      <c r="BI130" s="12"/>
    </row>
    <row r="131" spans="3:61" ht="11.1" customHeight="1" x14ac:dyDescent="0.25">
      <c r="C131" s="8"/>
      <c r="D131" s="8"/>
      <c r="F131" s="54"/>
      <c r="G131" s="622"/>
      <c r="H131" s="623"/>
      <c r="I131" s="623"/>
      <c r="J131" s="623"/>
      <c r="K131" s="623"/>
      <c r="L131" s="623"/>
      <c r="M131" s="623"/>
      <c r="N131" s="623"/>
      <c r="O131" s="623"/>
      <c r="P131" s="623"/>
      <c r="Q131" s="623"/>
      <c r="R131" s="623"/>
      <c r="S131" s="623"/>
      <c r="T131" s="623"/>
      <c r="U131" s="623"/>
      <c r="V131" s="623"/>
      <c r="W131" s="623"/>
      <c r="X131" s="623"/>
      <c r="Y131" s="623"/>
      <c r="Z131" s="623"/>
      <c r="AA131" s="624"/>
      <c r="AB131"/>
      <c r="AC131" s="622"/>
      <c r="AD131" s="623"/>
      <c r="AE131" s="623"/>
      <c r="AF131" s="623"/>
      <c r="AG131" s="623"/>
      <c r="AH131" s="623"/>
      <c r="AI131" s="623"/>
      <c r="AJ131" s="623"/>
      <c r="AK131" s="623"/>
      <c r="AL131" s="623"/>
      <c r="AM131" s="623"/>
      <c r="AN131" s="623"/>
      <c r="AO131" s="623"/>
      <c r="AP131" s="623"/>
      <c r="AQ131" s="623"/>
      <c r="AR131" s="623"/>
      <c r="AS131" s="623"/>
      <c r="AT131" s="623"/>
      <c r="AU131" s="623"/>
      <c r="AV131" s="623"/>
      <c r="AW131" s="624"/>
      <c r="AY131" s="11"/>
      <c r="BI131" s="12"/>
    </row>
    <row r="132" spans="3:61" ht="11.1" customHeight="1" x14ac:dyDescent="0.25">
      <c r="C132" s="8"/>
      <c r="D132" s="8"/>
      <c r="F132" s="54"/>
      <c r="G132" s="622"/>
      <c r="H132" s="623"/>
      <c r="I132" s="623"/>
      <c r="J132" s="623"/>
      <c r="K132" s="623"/>
      <c r="L132" s="623"/>
      <c r="M132" s="623"/>
      <c r="N132" s="623"/>
      <c r="O132" s="623"/>
      <c r="P132" s="623"/>
      <c r="Q132" s="623"/>
      <c r="R132" s="623"/>
      <c r="S132" s="623"/>
      <c r="T132" s="623"/>
      <c r="U132" s="623"/>
      <c r="V132" s="623"/>
      <c r="W132" s="623"/>
      <c r="X132" s="623"/>
      <c r="Y132" s="623"/>
      <c r="Z132" s="623"/>
      <c r="AA132" s="624"/>
      <c r="AB132"/>
      <c r="AC132" s="622"/>
      <c r="AD132" s="623"/>
      <c r="AE132" s="623"/>
      <c r="AF132" s="623"/>
      <c r="AG132" s="623"/>
      <c r="AH132" s="623"/>
      <c r="AI132" s="623"/>
      <c r="AJ132" s="623"/>
      <c r="AK132" s="623"/>
      <c r="AL132" s="623"/>
      <c r="AM132" s="623"/>
      <c r="AN132" s="623"/>
      <c r="AO132" s="623"/>
      <c r="AP132" s="623"/>
      <c r="AQ132" s="623"/>
      <c r="AR132" s="623"/>
      <c r="AS132" s="623"/>
      <c r="AT132" s="623"/>
      <c r="AU132" s="623"/>
      <c r="AV132" s="623"/>
      <c r="AW132" s="624"/>
      <c r="AY132" s="11"/>
      <c r="BI132" s="12"/>
    </row>
    <row r="133" spans="3:61" ht="11.1" customHeight="1" x14ac:dyDescent="0.25">
      <c r="C133" s="8"/>
      <c r="D133" s="8"/>
      <c r="F133" s="54"/>
      <c r="G133" s="622"/>
      <c r="H133" s="623"/>
      <c r="I133" s="623"/>
      <c r="J133" s="623"/>
      <c r="K133" s="623"/>
      <c r="L133" s="623"/>
      <c r="M133" s="623"/>
      <c r="N133" s="623"/>
      <c r="O133" s="623"/>
      <c r="P133" s="623"/>
      <c r="Q133" s="623"/>
      <c r="R133" s="623"/>
      <c r="S133" s="623"/>
      <c r="T133" s="623"/>
      <c r="U133" s="623"/>
      <c r="V133" s="623"/>
      <c r="W133" s="623"/>
      <c r="X133" s="623"/>
      <c r="Y133" s="623"/>
      <c r="Z133" s="623"/>
      <c r="AA133" s="624"/>
      <c r="AB133"/>
      <c r="AC133" s="622"/>
      <c r="AD133" s="623"/>
      <c r="AE133" s="623"/>
      <c r="AF133" s="623"/>
      <c r="AG133" s="623"/>
      <c r="AH133" s="623"/>
      <c r="AI133" s="623"/>
      <c r="AJ133" s="623"/>
      <c r="AK133" s="623"/>
      <c r="AL133" s="623"/>
      <c r="AM133" s="623"/>
      <c r="AN133" s="623"/>
      <c r="AO133" s="623"/>
      <c r="AP133" s="623"/>
      <c r="AQ133" s="623"/>
      <c r="AR133" s="623"/>
      <c r="AS133" s="623"/>
      <c r="AT133" s="623"/>
      <c r="AU133" s="623"/>
      <c r="AV133" s="623"/>
      <c r="AW133" s="624"/>
      <c r="AY133" s="11"/>
      <c r="BI133" s="12"/>
    </row>
    <row r="134" spans="3:61" ht="11.1" customHeight="1" x14ac:dyDescent="0.25">
      <c r="C134" s="8"/>
      <c r="D134" s="8"/>
      <c r="F134" s="54"/>
      <c r="G134" s="622"/>
      <c r="H134" s="623"/>
      <c r="I134" s="623"/>
      <c r="J134" s="623"/>
      <c r="K134" s="623"/>
      <c r="L134" s="623"/>
      <c r="M134" s="623"/>
      <c r="N134" s="623"/>
      <c r="O134" s="623"/>
      <c r="P134" s="623"/>
      <c r="Q134" s="623"/>
      <c r="R134" s="623"/>
      <c r="S134" s="623"/>
      <c r="T134" s="623"/>
      <c r="U134" s="623"/>
      <c r="V134" s="623"/>
      <c r="W134" s="623"/>
      <c r="X134" s="623"/>
      <c r="Y134" s="623"/>
      <c r="Z134" s="623"/>
      <c r="AA134" s="624"/>
      <c r="AB134"/>
      <c r="AC134" s="622"/>
      <c r="AD134" s="623"/>
      <c r="AE134" s="623"/>
      <c r="AF134" s="623"/>
      <c r="AG134" s="623"/>
      <c r="AH134" s="623"/>
      <c r="AI134" s="623"/>
      <c r="AJ134" s="623"/>
      <c r="AK134" s="623"/>
      <c r="AL134" s="623"/>
      <c r="AM134" s="623"/>
      <c r="AN134" s="623"/>
      <c r="AO134" s="623"/>
      <c r="AP134" s="623"/>
      <c r="AQ134" s="623"/>
      <c r="AR134" s="623"/>
      <c r="AS134" s="623"/>
      <c r="AT134" s="623"/>
      <c r="AU134" s="623"/>
      <c r="AV134" s="623"/>
      <c r="AW134" s="624"/>
      <c r="AY134" s="11"/>
      <c r="BI134" s="12"/>
    </row>
    <row r="135" spans="3:61" ht="11.1" customHeight="1" x14ac:dyDescent="0.25">
      <c r="C135" s="8"/>
      <c r="D135" s="8"/>
      <c r="F135" s="54"/>
      <c r="G135" s="622"/>
      <c r="H135" s="623"/>
      <c r="I135" s="623"/>
      <c r="J135" s="623"/>
      <c r="K135" s="623"/>
      <c r="L135" s="623"/>
      <c r="M135" s="623"/>
      <c r="N135" s="623"/>
      <c r="O135" s="623"/>
      <c r="P135" s="623"/>
      <c r="Q135" s="623"/>
      <c r="R135" s="623"/>
      <c r="S135" s="623"/>
      <c r="T135" s="623"/>
      <c r="U135" s="623"/>
      <c r="V135" s="623"/>
      <c r="W135" s="623"/>
      <c r="X135" s="623"/>
      <c r="Y135" s="623"/>
      <c r="Z135" s="623"/>
      <c r="AA135" s="624"/>
      <c r="AB135"/>
      <c r="AC135" s="622"/>
      <c r="AD135" s="623"/>
      <c r="AE135" s="623"/>
      <c r="AF135" s="623"/>
      <c r="AG135" s="623"/>
      <c r="AH135" s="623"/>
      <c r="AI135" s="623"/>
      <c r="AJ135" s="623"/>
      <c r="AK135" s="623"/>
      <c r="AL135" s="623"/>
      <c r="AM135" s="623"/>
      <c r="AN135" s="623"/>
      <c r="AO135" s="623"/>
      <c r="AP135" s="623"/>
      <c r="AQ135" s="623"/>
      <c r="AR135" s="623"/>
      <c r="AS135" s="623"/>
      <c r="AT135" s="623"/>
      <c r="AU135" s="623"/>
      <c r="AV135" s="623"/>
      <c r="AW135" s="624"/>
      <c r="AY135" s="11"/>
      <c r="BI135" s="12"/>
    </row>
    <row r="136" spans="3:61" ht="11.1" customHeight="1" x14ac:dyDescent="0.25">
      <c r="C136" s="8"/>
      <c r="D136" s="8"/>
      <c r="F136" s="54"/>
      <c r="G136" s="622"/>
      <c r="H136" s="623"/>
      <c r="I136" s="623"/>
      <c r="J136" s="623"/>
      <c r="K136" s="623"/>
      <c r="L136" s="623"/>
      <c r="M136" s="623"/>
      <c r="N136" s="623"/>
      <c r="O136" s="623"/>
      <c r="P136" s="623"/>
      <c r="Q136" s="623"/>
      <c r="R136" s="623"/>
      <c r="S136" s="623"/>
      <c r="T136" s="623"/>
      <c r="U136" s="623"/>
      <c r="V136" s="623"/>
      <c r="W136" s="623"/>
      <c r="X136" s="623"/>
      <c r="Y136" s="623"/>
      <c r="Z136" s="623"/>
      <c r="AA136" s="624"/>
      <c r="AB136"/>
      <c r="AC136" s="622"/>
      <c r="AD136" s="623"/>
      <c r="AE136" s="623"/>
      <c r="AF136" s="623"/>
      <c r="AG136" s="623"/>
      <c r="AH136" s="623"/>
      <c r="AI136" s="623"/>
      <c r="AJ136" s="623"/>
      <c r="AK136" s="623"/>
      <c r="AL136" s="623"/>
      <c r="AM136" s="623"/>
      <c r="AN136" s="623"/>
      <c r="AO136" s="623"/>
      <c r="AP136" s="623"/>
      <c r="AQ136" s="623"/>
      <c r="AR136" s="623"/>
      <c r="AS136" s="623"/>
      <c r="AT136" s="623"/>
      <c r="AU136" s="623"/>
      <c r="AV136" s="623"/>
      <c r="AW136" s="624"/>
      <c r="AY136" s="11"/>
      <c r="BI136" s="12"/>
    </row>
    <row r="137" spans="3:61" ht="11.1" customHeight="1" x14ac:dyDescent="0.25">
      <c r="C137" s="8"/>
      <c r="D137" s="8"/>
      <c r="F137" s="54"/>
      <c r="G137" s="622"/>
      <c r="H137" s="623"/>
      <c r="I137" s="623"/>
      <c r="J137" s="623"/>
      <c r="K137" s="623"/>
      <c r="L137" s="623"/>
      <c r="M137" s="623"/>
      <c r="N137" s="623"/>
      <c r="O137" s="623"/>
      <c r="P137" s="623"/>
      <c r="Q137" s="623"/>
      <c r="R137" s="623"/>
      <c r="S137" s="623"/>
      <c r="T137" s="623"/>
      <c r="U137" s="623"/>
      <c r="V137" s="623"/>
      <c r="W137" s="623"/>
      <c r="X137" s="623"/>
      <c r="Y137" s="623"/>
      <c r="Z137" s="623"/>
      <c r="AA137" s="624"/>
      <c r="AB137"/>
      <c r="AC137" s="622"/>
      <c r="AD137" s="623"/>
      <c r="AE137" s="623"/>
      <c r="AF137" s="623"/>
      <c r="AG137" s="623"/>
      <c r="AH137" s="623"/>
      <c r="AI137" s="623"/>
      <c r="AJ137" s="623"/>
      <c r="AK137" s="623"/>
      <c r="AL137" s="623"/>
      <c r="AM137" s="623"/>
      <c r="AN137" s="623"/>
      <c r="AO137" s="623"/>
      <c r="AP137" s="623"/>
      <c r="AQ137" s="623"/>
      <c r="AR137" s="623"/>
      <c r="AS137" s="623"/>
      <c r="AT137" s="623"/>
      <c r="AU137" s="623"/>
      <c r="AV137" s="623"/>
      <c r="AW137" s="624"/>
      <c r="AY137" s="11"/>
      <c r="BI137" s="12"/>
    </row>
    <row r="138" spans="3:61" ht="11.1" customHeight="1" x14ac:dyDescent="0.25">
      <c r="C138" s="8"/>
      <c r="D138" s="8"/>
      <c r="F138" s="54"/>
      <c r="G138" s="622"/>
      <c r="H138" s="623"/>
      <c r="I138" s="623"/>
      <c r="J138" s="623"/>
      <c r="K138" s="623"/>
      <c r="L138" s="623"/>
      <c r="M138" s="623"/>
      <c r="N138" s="623"/>
      <c r="O138" s="623"/>
      <c r="P138" s="623"/>
      <c r="Q138" s="623"/>
      <c r="R138" s="623"/>
      <c r="S138" s="623"/>
      <c r="T138" s="623"/>
      <c r="U138" s="623"/>
      <c r="V138" s="623"/>
      <c r="W138" s="623"/>
      <c r="X138" s="623"/>
      <c r="Y138" s="623"/>
      <c r="Z138" s="623"/>
      <c r="AA138" s="624"/>
      <c r="AB138"/>
      <c r="AC138" s="622"/>
      <c r="AD138" s="623"/>
      <c r="AE138" s="623"/>
      <c r="AF138" s="623"/>
      <c r="AG138" s="623"/>
      <c r="AH138" s="623"/>
      <c r="AI138" s="623"/>
      <c r="AJ138" s="623"/>
      <c r="AK138" s="623"/>
      <c r="AL138" s="623"/>
      <c r="AM138" s="623"/>
      <c r="AN138" s="623"/>
      <c r="AO138" s="623"/>
      <c r="AP138" s="623"/>
      <c r="AQ138" s="623"/>
      <c r="AR138" s="623"/>
      <c r="AS138" s="623"/>
      <c r="AT138" s="623"/>
      <c r="AU138" s="623"/>
      <c r="AV138" s="623"/>
      <c r="AW138" s="624"/>
      <c r="AY138" s="11"/>
      <c r="BI138" s="12"/>
    </row>
    <row r="139" spans="3:61" ht="11.1" customHeight="1" x14ac:dyDescent="0.25">
      <c r="C139" s="8"/>
      <c r="D139" s="8"/>
      <c r="F139" s="54"/>
      <c r="G139" s="622"/>
      <c r="H139" s="623"/>
      <c r="I139" s="623"/>
      <c r="J139" s="623"/>
      <c r="K139" s="623"/>
      <c r="L139" s="623"/>
      <c r="M139" s="623"/>
      <c r="N139" s="623"/>
      <c r="O139" s="623"/>
      <c r="P139" s="623"/>
      <c r="Q139" s="623"/>
      <c r="R139" s="623"/>
      <c r="S139" s="623"/>
      <c r="T139" s="623"/>
      <c r="U139" s="623"/>
      <c r="V139" s="623"/>
      <c r="W139" s="623"/>
      <c r="X139" s="623"/>
      <c r="Y139" s="623"/>
      <c r="Z139" s="623"/>
      <c r="AA139" s="624"/>
      <c r="AB139"/>
      <c r="AC139" s="622"/>
      <c r="AD139" s="623"/>
      <c r="AE139" s="623"/>
      <c r="AF139" s="623"/>
      <c r="AG139" s="623"/>
      <c r="AH139" s="623"/>
      <c r="AI139" s="623"/>
      <c r="AJ139" s="623"/>
      <c r="AK139" s="623"/>
      <c r="AL139" s="623"/>
      <c r="AM139" s="623"/>
      <c r="AN139" s="623"/>
      <c r="AO139" s="623"/>
      <c r="AP139" s="623"/>
      <c r="AQ139" s="623"/>
      <c r="AR139" s="623"/>
      <c r="AS139" s="623"/>
      <c r="AT139" s="623"/>
      <c r="AU139" s="623"/>
      <c r="AV139" s="623"/>
      <c r="AW139" s="624"/>
      <c r="AY139" s="11"/>
      <c r="BI139" s="12"/>
    </row>
    <row r="140" spans="3:61" ht="11.1" customHeight="1" x14ac:dyDescent="0.25">
      <c r="C140" s="8"/>
      <c r="D140" s="8"/>
      <c r="F140" s="54"/>
      <c r="G140" s="622"/>
      <c r="H140" s="623"/>
      <c r="I140" s="623"/>
      <c r="J140" s="623"/>
      <c r="K140" s="623"/>
      <c r="L140" s="623"/>
      <c r="M140" s="623"/>
      <c r="N140" s="623"/>
      <c r="O140" s="623"/>
      <c r="P140" s="623"/>
      <c r="Q140" s="623"/>
      <c r="R140" s="623"/>
      <c r="S140" s="623"/>
      <c r="T140" s="623"/>
      <c r="U140" s="623"/>
      <c r="V140" s="623"/>
      <c r="W140" s="623"/>
      <c r="X140" s="623"/>
      <c r="Y140" s="623"/>
      <c r="Z140" s="623"/>
      <c r="AA140" s="624"/>
      <c r="AB140"/>
      <c r="AC140" s="622"/>
      <c r="AD140" s="623"/>
      <c r="AE140" s="623"/>
      <c r="AF140" s="623"/>
      <c r="AG140" s="623"/>
      <c r="AH140" s="623"/>
      <c r="AI140" s="623"/>
      <c r="AJ140" s="623"/>
      <c r="AK140" s="623"/>
      <c r="AL140" s="623"/>
      <c r="AM140" s="623"/>
      <c r="AN140" s="623"/>
      <c r="AO140" s="623"/>
      <c r="AP140" s="623"/>
      <c r="AQ140" s="623"/>
      <c r="AR140" s="623"/>
      <c r="AS140" s="623"/>
      <c r="AT140" s="623"/>
      <c r="AU140" s="623"/>
      <c r="AV140" s="623"/>
      <c r="AW140" s="624"/>
      <c r="AY140" s="11"/>
      <c r="BI140" s="12"/>
    </row>
    <row r="141" spans="3:61" ht="11.1" customHeight="1" x14ac:dyDescent="0.25">
      <c r="C141" s="8"/>
      <c r="D141" s="8"/>
      <c r="F141" s="54"/>
      <c r="G141" s="625" t="s">
        <v>270</v>
      </c>
      <c r="H141" s="626"/>
      <c r="I141" s="626"/>
      <c r="J141" s="626"/>
      <c r="K141" s="626"/>
      <c r="L141" s="626"/>
      <c r="M141" s="626"/>
      <c r="N141" s="626"/>
      <c r="O141" s="626"/>
      <c r="P141" s="626"/>
      <c r="Q141" s="626"/>
      <c r="R141" s="626"/>
      <c r="S141" s="626"/>
      <c r="T141" s="626"/>
      <c r="U141" s="626"/>
      <c r="V141" s="626"/>
      <c r="W141" s="626"/>
      <c r="X141" s="626"/>
      <c r="Y141" s="626"/>
      <c r="Z141" s="626"/>
      <c r="AA141" s="627"/>
      <c r="AB141"/>
      <c r="AC141" s="625" t="s">
        <v>270</v>
      </c>
      <c r="AD141" s="626"/>
      <c r="AE141" s="626"/>
      <c r="AF141" s="626"/>
      <c r="AG141" s="626"/>
      <c r="AH141" s="626"/>
      <c r="AI141" s="626"/>
      <c r="AJ141" s="626"/>
      <c r="AK141" s="626"/>
      <c r="AL141" s="626"/>
      <c r="AM141" s="626"/>
      <c r="AN141" s="626"/>
      <c r="AO141" s="626"/>
      <c r="AP141" s="626"/>
      <c r="AQ141" s="626"/>
      <c r="AR141" s="626"/>
      <c r="AS141" s="626"/>
      <c r="AT141" s="626"/>
      <c r="AU141" s="626"/>
      <c r="AV141" s="626"/>
      <c r="AW141" s="627"/>
      <c r="AY141" s="11"/>
      <c r="BI141" s="12"/>
    </row>
    <row r="142" spans="3:61" ht="11.1" customHeight="1" x14ac:dyDescent="0.25">
      <c r="C142" s="8"/>
      <c r="D142" s="8"/>
      <c r="F142" s="54"/>
      <c r="G142" s="628"/>
      <c r="H142" s="629"/>
      <c r="I142" s="629"/>
      <c r="J142" s="629"/>
      <c r="K142" s="629"/>
      <c r="L142" s="629"/>
      <c r="M142" s="629"/>
      <c r="N142" s="629"/>
      <c r="O142" s="629"/>
      <c r="P142" s="629"/>
      <c r="Q142" s="629"/>
      <c r="R142" s="629"/>
      <c r="S142" s="629"/>
      <c r="T142" s="629"/>
      <c r="U142" s="629"/>
      <c r="V142" s="629"/>
      <c r="W142" s="629"/>
      <c r="X142" s="629"/>
      <c r="Y142" s="629"/>
      <c r="Z142" s="629"/>
      <c r="AA142" s="630"/>
      <c r="AB142"/>
      <c r="AC142" s="628"/>
      <c r="AD142" s="629"/>
      <c r="AE142" s="629"/>
      <c r="AF142" s="629"/>
      <c r="AG142" s="629"/>
      <c r="AH142" s="629"/>
      <c r="AI142" s="629"/>
      <c r="AJ142" s="629"/>
      <c r="AK142" s="629"/>
      <c r="AL142" s="629"/>
      <c r="AM142" s="629"/>
      <c r="AN142" s="629"/>
      <c r="AO142" s="629"/>
      <c r="AP142" s="629"/>
      <c r="AQ142" s="629"/>
      <c r="AR142" s="629"/>
      <c r="AS142" s="629"/>
      <c r="AT142" s="629"/>
      <c r="AU142" s="629"/>
      <c r="AV142" s="629"/>
      <c r="AW142" s="630"/>
      <c r="AY142" s="11"/>
      <c r="BI142" s="12"/>
    </row>
    <row r="143" spans="3:61" ht="11.1" customHeight="1" x14ac:dyDescent="0.25">
      <c r="C143" s="8"/>
      <c r="D143" s="8"/>
      <c r="F143" s="54"/>
      <c r="G143" s="619"/>
      <c r="H143" s="620"/>
      <c r="I143" s="620"/>
      <c r="J143" s="620"/>
      <c r="K143" s="620"/>
      <c r="L143" s="620"/>
      <c r="M143" s="620"/>
      <c r="N143" s="620"/>
      <c r="O143" s="620"/>
      <c r="P143" s="620"/>
      <c r="Q143" s="620"/>
      <c r="R143" s="620"/>
      <c r="S143" s="620"/>
      <c r="T143" s="620"/>
      <c r="U143" s="620"/>
      <c r="V143" s="620"/>
      <c r="W143" s="620"/>
      <c r="X143" s="620"/>
      <c r="Y143" s="620"/>
      <c r="Z143" s="620"/>
      <c r="AA143" s="621"/>
      <c r="AB143"/>
      <c r="AC143" s="619"/>
      <c r="AD143" s="620"/>
      <c r="AE143" s="620"/>
      <c r="AF143" s="620"/>
      <c r="AG143" s="620"/>
      <c r="AH143" s="620"/>
      <c r="AI143" s="620"/>
      <c r="AJ143" s="620"/>
      <c r="AK143" s="620"/>
      <c r="AL143" s="620"/>
      <c r="AM143" s="620"/>
      <c r="AN143" s="620"/>
      <c r="AO143" s="620"/>
      <c r="AP143" s="620"/>
      <c r="AQ143" s="620"/>
      <c r="AR143" s="620"/>
      <c r="AS143" s="620"/>
      <c r="AT143" s="620"/>
      <c r="AU143" s="620"/>
      <c r="AV143" s="620"/>
      <c r="AW143" s="621"/>
      <c r="AY143" s="11"/>
      <c r="BI143" s="12"/>
    </row>
    <row r="144" spans="3:61" ht="11.1" customHeight="1" x14ac:dyDescent="0.25">
      <c r="C144" s="8"/>
      <c r="D144" s="8"/>
      <c r="F144" s="54"/>
      <c r="G144" s="622"/>
      <c r="H144" s="623"/>
      <c r="I144" s="623"/>
      <c r="J144" s="623"/>
      <c r="K144" s="623"/>
      <c r="L144" s="623"/>
      <c r="M144" s="623"/>
      <c r="N144" s="623"/>
      <c r="O144" s="623"/>
      <c r="P144" s="623"/>
      <c r="Q144" s="623"/>
      <c r="R144" s="623"/>
      <c r="S144" s="623"/>
      <c r="T144" s="623"/>
      <c r="U144" s="623"/>
      <c r="V144" s="623"/>
      <c r="W144" s="623"/>
      <c r="X144" s="623"/>
      <c r="Y144" s="623"/>
      <c r="Z144" s="623"/>
      <c r="AA144" s="624"/>
      <c r="AB144"/>
      <c r="AC144" s="622"/>
      <c r="AD144" s="623"/>
      <c r="AE144" s="623"/>
      <c r="AF144" s="623"/>
      <c r="AG144" s="623"/>
      <c r="AH144" s="623"/>
      <c r="AI144" s="623"/>
      <c r="AJ144" s="623"/>
      <c r="AK144" s="623"/>
      <c r="AL144" s="623"/>
      <c r="AM144" s="623"/>
      <c r="AN144" s="623"/>
      <c r="AO144" s="623"/>
      <c r="AP144" s="623"/>
      <c r="AQ144" s="623"/>
      <c r="AR144" s="623"/>
      <c r="AS144" s="623"/>
      <c r="AT144" s="623"/>
      <c r="AU144" s="623"/>
      <c r="AV144" s="623"/>
      <c r="AW144" s="624"/>
      <c r="AY144" s="11"/>
      <c r="BI144" s="12"/>
    </row>
    <row r="145" spans="3:62" ht="11.1" customHeight="1" x14ac:dyDescent="0.25">
      <c r="C145" s="8"/>
      <c r="D145" s="8"/>
      <c r="F145" s="54"/>
      <c r="G145" s="622"/>
      <c r="H145" s="623"/>
      <c r="I145" s="623"/>
      <c r="J145" s="623"/>
      <c r="K145" s="623"/>
      <c r="L145" s="623"/>
      <c r="M145" s="623"/>
      <c r="N145" s="623"/>
      <c r="O145" s="623"/>
      <c r="P145" s="623"/>
      <c r="Q145" s="623"/>
      <c r="R145" s="623"/>
      <c r="S145" s="623"/>
      <c r="T145" s="623"/>
      <c r="U145" s="623"/>
      <c r="V145" s="623"/>
      <c r="W145" s="623"/>
      <c r="X145" s="623"/>
      <c r="Y145" s="623"/>
      <c r="Z145" s="623"/>
      <c r="AA145" s="624"/>
      <c r="AB145"/>
      <c r="AC145" s="622"/>
      <c r="AD145" s="623"/>
      <c r="AE145" s="623"/>
      <c r="AF145" s="623"/>
      <c r="AG145" s="623"/>
      <c r="AH145" s="623"/>
      <c r="AI145" s="623"/>
      <c r="AJ145" s="623"/>
      <c r="AK145" s="623"/>
      <c r="AL145" s="623"/>
      <c r="AM145" s="623"/>
      <c r="AN145" s="623"/>
      <c r="AO145" s="623"/>
      <c r="AP145" s="623"/>
      <c r="AQ145" s="623"/>
      <c r="AR145" s="623"/>
      <c r="AS145" s="623"/>
      <c r="AT145" s="623"/>
      <c r="AU145" s="623"/>
      <c r="AV145" s="623"/>
      <c r="AW145" s="624"/>
      <c r="AY145" s="11"/>
      <c r="BI145" s="12"/>
    </row>
    <row r="146" spans="3:62" ht="11.1" customHeight="1" x14ac:dyDescent="0.25">
      <c r="C146" s="8"/>
      <c r="D146" s="8"/>
      <c r="F146" s="54"/>
      <c r="G146" s="622"/>
      <c r="H146" s="623"/>
      <c r="I146" s="623"/>
      <c r="J146" s="623"/>
      <c r="K146" s="623"/>
      <c r="L146" s="623"/>
      <c r="M146" s="623"/>
      <c r="N146" s="623"/>
      <c r="O146" s="623"/>
      <c r="P146" s="623"/>
      <c r="Q146" s="623"/>
      <c r="R146" s="623"/>
      <c r="S146" s="623"/>
      <c r="T146" s="623"/>
      <c r="U146" s="623"/>
      <c r="V146" s="623"/>
      <c r="W146" s="623"/>
      <c r="X146" s="623"/>
      <c r="Y146" s="623"/>
      <c r="Z146" s="623"/>
      <c r="AA146" s="624"/>
      <c r="AB146"/>
      <c r="AC146" s="622"/>
      <c r="AD146" s="623"/>
      <c r="AE146" s="623"/>
      <c r="AF146" s="623"/>
      <c r="AG146" s="623"/>
      <c r="AH146" s="623"/>
      <c r="AI146" s="623"/>
      <c r="AJ146" s="623"/>
      <c r="AK146" s="623"/>
      <c r="AL146" s="623"/>
      <c r="AM146" s="623"/>
      <c r="AN146" s="623"/>
      <c r="AO146" s="623"/>
      <c r="AP146" s="623"/>
      <c r="AQ146" s="623"/>
      <c r="AR146" s="623"/>
      <c r="AS146" s="623"/>
      <c r="AT146" s="623"/>
      <c r="AU146" s="623"/>
      <c r="AV146" s="623"/>
      <c r="AW146" s="624"/>
      <c r="AY146" s="11"/>
      <c r="BI146" s="12"/>
    </row>
    <row r="147" spans="3:62" ht="11.1" customHeight="1" x14ac:dyDescent="0.25">
      <c r="C147" s="8"/>
      <c r="D147" s="8"/>
      <c r="F147" s="54"/>
      <c r="G147" s="622"/>
      <c r="H147" s="623"/>
      <c r="I147" s="623"/>
      <c r="J147" s="623"/>
      <c r="K147" s="623"/>
      <c r="L147" s="623"/>
      <c r="M147" s="623"/>
      <c r="N147" s="623"/>
      <c r="O147" s="623"/>
      <c r="P147" s="623"/>
      <c r="Q147" s="623"/>
      <c r="R147" s="623"/>
      <c r="S147" s="623"/>
      <c r="T147" s="623"/>
      <c r="U147" s="623"/>
      <c r="V147" s="623"/>
      <c r="W147" s="623"/>
      <c r="X147" s="623"/>
      <c r="Y147" s="623"/>
      <c r="Z147" s="623"/>
      <c r="AA147" s="624"/>
      <c r="AB147"/>
      <c r="AC147" s="622"/>
      <c r="AD147" s="623"/>
      <c r="AE147" s="623"/>
      <c r="AF147" s="623"/>
      <c r="AG147" s="623"/>
      <c r="AH147" s="623"/>
      <c r="AI147" s="623"/>
      <c r="AJ147" s="623"/>
      <c r="AK147" s="623"/>
      <c r="AL147" s="623"/>
      <c r="AM147" s="623"/>
      <c r="AN147" s="623"/>
      <c r="AO147" s="623"/>
      <c r="AP147" s="623"/>
      <c r="AQ147" s="623"/>
      <c r="AR147" s="623"/>
      <c r="AS147" s="623"/>
      <c r="AT147" s="623"/>
      <c r="AU147" s="623"/>
      <c r="AV147" s="623"/>
      <c r="AW147" s="624"/>
      <c r="AY147" s="11"/>
      <c r="BI147" s="12"/>
    </row>
    <row r="148" spans="3:62" ht="11.1" customHeight="1" x14ac:dyDescent="0.25">
      <c r="C148" s="8"/>
      <c r="D148" s="8"/>
      <c r="F148" s="54"/>
      <c r="G148" s="622"/>
      <c r="H148" s="623"/>
      <c r="I148" s="623"/>
      <c r="J148" s="623"/>
      <c r="K148" s="623"/>
      <c r="L148" s="623"/>
      <c r="M148" s="623"/>
      <c r="N148" s="623"/>
      <c r="O148" s="623"/>
      <c r="P148" s="623"/>
      <c r="Q148" s="623"/>
      <c r="R148" s="623"/>
      <c r="S148" s="623"/>
      <c r="T148" s="623"/>
      <c r="U148" s="623"/>
      <c r="V148" s="623"/>
      <c r="W148" s="623"/>
      <c r="X148" s="623"/>
      <c r="Y148" s="623"/>
      <c r="Z148" s="623"/>
      <c r="AA148" s="624"/>
      <c r="AB148"/>
      <c r="AC148" s="622"/>
      <c r="AD148" s="623"/>
      <c r="AE148" s="623"/>
      <c r="AF148" s="623"/>
      <c r="AG148" s="623"/>
      <c r="AH148" s="623"/>
      <c r="AI148" s="623"/>
      <c r="AJ148" s="623"/>
      <c r="AK148" s="623"/>
      <c r="AL148" s="623"/>
      <c r="AM148" s="623"/>
      <c r="AN148" s="623"/>
      <c r="AO148" s="623"/>
      <c r="AP148" s="623"/>
      <c r="AQ148" s="623"/>
      <c r="AR148" s="623"/>
      <c r="AS148" s="623"/>
      <c r="AT148" s="623"/>
      <c r="AU148" s="623"/>
      <c r="AV148" s="623"/>
      <c r="AW148" s="624"/>
      <c r="AY148" s="11"/>
      <c r="BI148" s="12"/>
    </row>
    <row r="149" spans="3:62" ht="11.1" customHeight="1" x14ac:dyDescent="0.25">
      <c r="C149" s="8"/>
      <c r="D149" s="8"/>
      <c r="F149" s="54"/>
      <c r="G149" s="622"/>
      <c r="H149" s="623"/>
      <c r="I149" s="623"/>
      <c r="J149" s="623"/>
      <c r="K149" s="623"/>
      <c r="L149" s="623"/>
      <c r="M149" s="623"/>
      <c r="N149" s="623"/>
      <c r="O149" s="623"/>
      <c r="P149" s="623"/>
      <c r="Q149" s="623"/>
      <c r="R149" s="623"/>
      <c r="S149" s="623"/>
      <c r="T149" s="623"/>
      <c r="U149" s="623"/>
      <c r="V149" s="623"/>
      <c r="W149" s="623"/>
      <c r="X149" s="623"/>
      <c r="Y149" s="623"/>
      <c r="Z149" s="623"/>
      <c r="AA149" s="624"/>
      <c r="AB149"/>
      <c r="AC149" s="622"/>
      <c r="AD149" s="623"/>
      <c r="AE149" s="623"/>
      <c r="AF149" s="623"/>
      <c r="AG149" s="623"/>
      <c r="AH149" s="623"/>
      <c r="AI149" s="623"/>
      <c r="AJ149" s="623"/>
      <c r="AK149" s="623"/>
      <c r="AL149" s="623"/>
      <c r="AM149" s="623"/>
      <c r="AN149" s="623"/>
      <c r="AO149" s="623"/>
      <c r="AP149" s="623"/>
      <c r="AQ149" s="623"/>
      <c r="AR149" s="623"/>
      <c r="AS149" s="623"/>
      <c r="AT149" s="623"/>
      <c r="AU149" s="623"/>
      <c r="AV149" s="623"/>
      <c r="AW149" s="624"/>
      <c r="AY149" s="11"/>
      <c r="BI149" s="12"/>
    </row>
    <row r="150" spans="3:62" ht="11.1" customHeight="1" x14ac:dyDescent="0.25">
      <c r="C150" s="8"/>
      <c r="D150" s="8"/>
      <c r="F150" s="54"/>
      <c r="G150" s="622"/>
      <c r="H150" s="623"/>
      <c r="I150" s="623"/>
      <c r="J150" s="623"/>
      <c r="K150" s="623"/>
      <c r="L150" s="623"/>
      <c r="M150" s="623"/>
      <c r="N150" s="623"/>
      <c r="O150" s="623"/>
      <c r="P150" s="623"/>
      <c r="Q150" s="623"/>
      <c r="R150" s="623"/>
      <c r="S150" s="623"/>
      <c r="T150" s="623"/>
      <c r="U150" s="623"/>
      <c r="V150" s="623"/>
      <c r="W150" s="623"/>
      <c r="X150" s="623"/>
      <c r="Y150" s="623"/>
      <c r="Z150" s="623"/>
      <c r="AA150" s="624"/>
      <c r="AB150"/>
      <c r="AC150" s="622"/>
      <c r="AD150" s="623"/>
      <c r="AE150" s="623"/>
      <c r="AF150" s="623"/>
      <c r="AG150" s="623"/>
      <c r="AH150" s="623"/>
      <c r="AI150" s="623"/>
      <c r="AJ150" s="623"/>
      <c r="AK150" s="623"/>
      <c r="AL150" s="623"/>
      <c r="AM150" s="623"/>
      <c r="AN150" s="623"/>
      <c r="AO150" s="623"/>
      <c r="AP150" s="623"/>
      <c r="AQ150" s="623"/>
      <c r="AR150" s="623"/>
      <c r="AS150" s="623"/>
      <c r="AT150" s="623"/>
      <c r="AU150" s="623"/>
      <c r="AV150" s="623"/>
      <c r="AW150" s="624"/>
      <c r="AY150" s="11"/>
      <c r="BI150" s="12"/>
    </row>
    <row r="151" spans="3:62" ht="11.1" customHeight="1" x14ac:dyDescent="0.25">
      <c r="C151" s="8"/>
      <c r="D151" s="8"/>
      <c r="F151" s="54"/>
      <c r="G151" s="622"/>
      <c r="H151" s="623"/>
      <c r="I151" s="623"/>
      <c r="J151" s="623"/>
      <c r="K151" s="623"/>
      <c r="L151" s="623"/>
      <c r="M151" s="623"/>
      <c r="N151" s="623"/>
      <c r="O151" s="623"/>
      <c r="P151" s="623"/>
      <c r="Q151" s="623"/>
      <c r="R151" s="623"/>
      <c r="S151" s="623"/>
      <c r="T151" s="623"/>
      <c r="U151" s="623"/>
      <c r="V151" s="623"/>
      <c r="W151" s="623"/>
      <c r="X151" s="623"/>
      <c r="Y151" s="623"/>
      <c r="Z151" s="623"/>
      <c r="AA151" s="624"/>
      <c r="AB151"/>
      <c r="AC151" s="622"/>
      <c r="AD151" s="623"/>
      <c r="AE151" s="623"/>
      <c r="AF151" s="623"/>
      <c r="AG151" s="623"/>
      <c r="AH151" s="623"/>
      <c r="AI151" s="623"/>
      <c r="AJ151" s="623"/>
      <c r="AK151" s="623"/>
      <c r="AL151" s="623"/>
      <c r="AM151" s="623"/>
      <c r="AN151" s="623"/>
      <c r="AO151" s="623"/>
      <c r="AP151" s="623"/>
      <c r="AQ151" s="623"/>
      <c r="AR151" s="623"/>
      <c r="AS151" s="623"/>
      <c r="AT151" s="623"/>
      <c r="AU151" s="623"/>
      <c r="AV151" s="623"/>
      <c r="AW151" s="624"/>
      <c r="AY151" s="11"/>
      <c r="BI151" s="12"/>
    </row>
    <row r="152" spans="3:62" ht="11.1" customHeight="1" x14ac:dyDescent="0.25">
      <c r="C152" s="8"/>
      <c r="D152" s="8"/>
      <c r="F152" s="54"/>
      <c r="G152" s="622"/>
      <c r="H152" s="623"/>
      <c r="I152" s="623"/>
      <c r="J152" s="623"/>
      <c r="K152" s="623"/>
      <c r="L152" s="623"/>
      <c r="M152" s="623"/>
      <c r="N152" s="623"/>
      <c r="O152" s="623"/>
      <c r="P152" s="623"/>
      <c r="Q152" s="623"/>
      <c r="R152" s="623"/>
      <c r="S152" s="623"/>
      <c r="T152" s="623"/>
      <c r="U152" s="623"/>
      <c r="V152" s="623"/>
      <c r="W152" s="623"/>
      <c r="X152" s="623"/>
      <c r="Y152" s="623"/>
      <c r="Z152" s="623"/>
      <c r="AA152" s="624"/>
      <c r="AB152"/>
      <c r="AC152" s="622"/>
      <c r="AD152" s="623"/>
      <c r="AE152" s="623"/>
      <c r="AF152" s="623"/>
      <c r="AG152" s="623"/>
      <c r="AH152" s="623"/>
      <c r="AI152" s="623"/>
      <c r="AJ152" s="623"/>
      <c r="AK152" s="623"/>
      <c r="AL152" s="623"/>
      <c r="AM152" s="623"/>
      <c r="AN152" s="623"/>
      <c r="AO152" s="623"/>
      <c r="AP152" s="623"/>
      <c r="AQ152" s="623"/>
      <c r="AR152" s="623"/>
      <c r="AS152" s="623"/>
      <c r="AT152" s="623"/>
      <c r="AU152" s="623"/>
      <c r="AV152" s="623"/>
      <c r="AW152" s="624"/>
      <c r="AY152" s="11"/>
      <c r="BI152" s="12"/>
    </row>
    <row r="153" spans="3:62" ht="11.1" customHeight="1" x14ac:dyDescent="0.25">
      <c r="C153" s="8"/>
      <c r="D153" s="8"/>
      <c r="F153" s="54"/>
      <c r="G153" s="622"/>
      <c r="H153" s="623"/>
      <c r="I153" s="623"/>
      <c r="J153" s="623"/>
      <c r="K153" s="623"/>
      <c r="L153" s="623"/>
      <c r="M153" s="623"/>
      <c r="N153" s="623"/>
      <c r="O153" s="623"/>
      <c r="P153" s="623"/>
      <c r="Q153" s="623"/>
      <c r="R153" s="623"/>
      <c r="S153" s="623"/>
      <c r="T153" s="623"/>
      <c r="U153" s="623"/>
      <c r="V153" s="623"/>
      <c r="W153" s="623"/>
      <c r="X153" s="623"/>
      <c r="Y153" s="623"/>
      <c r="Z153" s="623"/>
      <c r="AA153" s="624"/>
      <c r="AB153"/>
      <c r="AC153" s="622"/>
      <c r="AD153" s="623"/>
      <c r="AE153" s="623"/>
      <c r="AF153" s="623"/>
      <c r="AG153" s="623"/>
      <c r="AH153" s="623"/>
      <c r="AI153" s="623"/>
      <c r="AJ153" s="623"/>
      <c r="AK153" s="623"/>
      <c r="AL153" s="623"/>
      <c r="AM153" s="623"/>
      <c r="AN153" s="623"/>
      <c r="AO153" s="623"/>
      <c r="AP153" s="623"/>
      <c r="AQ153" s="623"/>
      <c r="AR153" s="623"/>
      <c r="AS153" s="623"/>
      <c r="AT153" s="623"/>
      <c r="AU153" s="623"/>
      <c r="AV153" s="623"/>
      <c r="AW153" s="624"/>
      <c r="AY153" s="11"/>
      <c r="BI153" s="12"/>
    </row>
    <row r="154" spans="3:62" ht="11.1" customHeight="1" x14ac:dyDescent="0.25">
      <c r="C154" s="8"/>
      <c r="D154" s="8"/>
      <c r="F154" s="54"/>
      <c r="G154" s="622"/>
      <c r="H154" s="623"/>
      <c r="I154" s="623"/>
      <c r="J154" s="623"/>
      <c r="K154" s="623"/>
      <c r="L154" s="623"/>
      <c r="M154" s="623"/>
      <c r="N154" s="623"/>
      <c r="O154" s="623"/>
      <c r="P154" s="623"/>
      <c r="Q154" s="623"/>
      <c r="R154" s="623"/>
      <c r="S154" s="623"/>
      <c r="T154" s="623"/>
      <c r="U154" s="623"/>
      <c r="V154" s="623"/>
      <c r="W154" s="623"/>
      <c r="X154" s="623"/>
      <c r="Y154" s="623"/>
      <c r="Z154" s="623"/>
      <c r="AA154" s="624"/>
      <c r="AB154"/>
      <c r="AC154" s="622"/>
      <c r="AD154" s="623"/>
      <c r="AE154" s="623"/>
      <c r="AF154" s="623"/>
      <c r="AG154" s="623"/>
      <c r="AH154" s="623"/>
      <c r="AI154" s="623"/>
      <c r="AJ154" s="623"/>
      <c r="AK154" s="623"/>
      <c r="AL154" s="623"/>
      <c r="AM154" s="623"/>
      <c r="AN154" s="623"/>
      <c r="AO154" s="623"/>
      <c r="AP154" s="623"/>
      <c r="AQ154" s="623"/>
      <c r="AR154" s="623"/>
      <c r="AS154" s="623"/>
      <c r="AT154" s="623"/>
      <c r="AU154" s="623"/>
      <c r="AV154" s="623"/>
      <c r="AW154" s="624"/>
      <c r="AY154" s="11"/>
      <c r="BI154" s="12"/>
    </row>
    <row r="155" spans="3:62" ht="11.1" customHeight="1" x14ac:dyDescent="0.25">
      <c r="C155" s="8"/>
      <c r="D155" s="8"/>
      <c r="F155" s="54"/>
      <c r="G155" s="622"/>
      <c r="H155" s="623"/>
      <c r="I155" s="623"/>
      <c r="J155" s="623"/>
      <c r="K155" s="623"/>
      <c r="L155" s="623"/>
      <c r="M155" s="623"/>
      <c r="N155" s="623"/>
      <c r="O155" s="623"/>
      <c r="P155" s="623"/>
      <c r="Q155" s="623"/>
      <c r="R155" s="623"/>
      <c r="S155" s="623"/>
      <c r="T155" s="623"/>
      <c r="U155" s="623"/>
      <c r="V155" s="623"/>
      <c r="W155" s="623"/>
      <c r="X155" s="623"/>
      <c r="Y155" s="623"/>
      <c r="Z155" s="623"/>
      <c r="AA155" s="624"/>
      <c r="AB155"/>
      <c r="AC155" s="622"/>
      <c r="AD155" s="623"/>
      <c r="AE155" s="623"/>
      <c r="AF155" s="623"/>
      <c r="AG155" s="623"/>
      <c r="AH155" s="623"/>
      <c r="AI155" s="623"/>
      <c r="AJ155" s="623"/>
      <c r="AK155" s="623"/>
      <c r="AL155" s="623"/>
      <c r="AM155" s="623"/>
      <c r="AN155" s="623"/>
      <c r="AO155" s="623"/>
      <c r="AP155" s="623"/>
      <c r="AQ155" s="623"/>
      <c r="AR155" s="623"/>
      <c r="AS155" s="623"/>
      <c r="AT155" s="623"/>
      <c r="AU155" s="623"/>
      <c r="AV155" s="623"/>
      <c r="AW155" s="624"/>
      <c r="AY155" s="11"/>
      <c r="BI155" s="12"/>
    </row>
    <row r="156" spans="3:62" ht="11.1" customHeight="1" x14ac:dyDescent="0.25">
      <c r="C156" s="8"/>
      <c r="D156" s="8"/>
      <c r="F156" s="54"/>
      <c r="G156" s="622"/>
      <c r="H156" s="623"/>
      <c r="I156" s="623"/>
      <c r="J156" s="623"/>
      <c r="K156" s="623"/>
      <c r="L156" s="623"/>
      <c r="M156" s="623"/>
      <c r="N156" s="623"/>
      <c r="O156" s="623"/>
      <c r="P156" s="623"/>
      <c r="Q156" s="623"/>
      <c r="R156" s="623"/>
      <c r="S156" s="623"/>
      <c r="T156" s="623"/>
      <c r="U156" s="623"/>
      <c r="V156" s="623"/>
      <c r="W156" s="623"/>
      <c r="X156" s="623"/>
      <c r="Y156" s="623"/>
      <c r="Z156" s="623"/>
      <c r="AA156" s="624"/>
      <c r="AB156"/>
      <c r="AC156" s="622"/>
      <c r="AD156" s="623"/>
      <c r="AE156" s="623"/>
      <c r="AF156" s="623"/>
      <c r="AG156" s="623"/>
      <c r="AH156" s="623"/>
      <c r="AI156" s="623"/>
      <c r="AJ156" s="623"/>
      <c r="AK156" s="623"/>
      <c r="AL156" s="623"/>
      <c r="AM156" s="623"/>
      <c r="AN156" s="623"/>
      <c r="AO156" s="623"/>
      <c r="AP156" s="623"/>
      <c r="AQ156" s="623"/>
      <c r="AR156" s="623"/>
      <c r="AS156" s="623"/>
      <c r="AT156" s="623"/>
      <c r="AU156" s="623"/>
      <c r="AV156" s="623"/>
      <c r="AW156" s="624"/>
      <c r="AY156" s="11"/>
      <c r="BI156" s="12"/>
    </row>
    <row r="157" spans="3:62" ht="11.1" customHeight="1" x14ac:dyDescent="0.25">
      <c r="C157" s="8"/>
      <c r="D157" s="8"/>
      <c r="F157" s="54"/>
      <c r="G157" s="625" t="s">
        <v>270</v>
      </c>
      <c r="H157" s="626"/>
      <c r="I157" s="626"/>
      <c r="J157" s="626"/>
      <c r="K157" s="626"/>
      <c r="L157" s="626"/>
      <c r="M157" s="626"/>
      <c r="N157" s="626"/>
      <c r="O157" s="626"/>
      <c r="P157" s="626"/>
      <c r="Q157" s="626"/>
      <c r="R157" s="626"/>
      <c r="S157" s="626"/>
      <c r="T157" s="626"/>
      <c r="U157" s="626"/>
      <c r="V157" s="626"/>
      <c r="W157" s="626"/>
      <c r="X157" s="626"/>
      <c r="Y157" s="626"/>
      <c r="Z157" s="626"/>
      <c r="AA157" s="627"/>
      <c r="AB157"/>
      <c r="AC157" s="625" t="s">
        <v>270</v>
      </c>
      <c r="AD157" s="626"/>
      <c r="AE157" s="626"/>
      <c r="AF157" s="626"/>
      <c r="AG157" s="626"/>
      <c r="AH157" s="626"/>
      <c r="AI157" s="626"/>
      <c r="AJ157" s="626"/>
      <c r="AK157" s="626"/>
      <c r="AL157" s="626"/>
      <c r="AM157" s="626"/>
      <c r="AN157" s="626"/>
      <c r="AO157" s="626"/>
      <c r="AP157" s="626"/>
      <c r="AQ157" s="626"/>
      <c r="AR157" s="626"/>
      <c r="AS157" s="626"/>
      <c r="AT157" s="626"/>
      <c r="AU157" s="626"/>
      <c r="AV157" s="626"/>
      <c r="AW157" s="627"/>
      <c r="AY157" s="11"/>
      <c r="BI157" s="12"/>
    </row>
    <row r="158" spans="3:62" ht="11.1" customHeight="1" x14ac:dyDescent="0.25">
      <c r="C158" s="8"/>
      <c r="D158" s="8"/>
      <c r="F158" s="54"/>
      <c r="G158" s="628"/>
      <c r="H158" s="629"/>
      <c r="I158" s="629"/>
      <c r="J158" s="629"/>
      <c r="K158" s="629"/>
      <c r="L158" s="629"/>
      <c r="M158" s="629"/>
      <c r="N158" s="629"/>
      <c r="O158" s="629"/>
      <c r="P158" s="629"/>
      <c r="Q158" s="629"/>
      <c r="R158" s="629"/>
      <c r="S158" s="629"/>
      <c r="T158" s="629"/>
      <c r="U158" s="629"/>
      <c r="V158" s="629"/>
      <c r="W158" s="629"/>
      <c r="X158" s="629"/>
      <c r="Y158" s="629"/>
      <c r="Z158" s="629"/>
      <c r="AA158" s="630"/>
      <c r="AB158"/>
      <c r="AC158" s="628"/>
      <c r="AD158" s="629"/>
      <c r="AE158" s="629"/>
      <c r="AF158" s="629"/>
      <c r="AG158" s="629"/>
      <c r="AH158" s="629"/>
      <c r="AI158" s="629"/>
      <c r="AJ158" s="629"/>
      <c r="AK158" s="629"/>
      <c r="AL158" s="629"/>
      <c r="AM158" s="629"/>
      <c r="AN158" s="629"/>
      <c r="AO158" s="629"/>
      <c r="AP158" s="629"/>
      <c r="AQ158" s="629"/>
      <c r="AR158" s="629"/>
      <c r="AS158" s="629"/>
      <c r="AT158" s="629"/>
      <c r="AU158" s="629"/>
      <c r="AV158" s="629"/>
      <c r="AW158" s="630"/>
      <c r="AY158" s="11"/>
      <c r="BI158" s="12"/>
    </row>
    <row r="159" spans="3:62" ht="3.9" customHeight="1" x14ac:dyDescent="0.25">
      <c r="C159" s="8"/>
      <c r="D159" s="8"/>
      <c r="E159" s="9" t="s">
        <v>9</v>
      </c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44"/>
      <c r="AY159" s="11"/>
      <c r="BI159" s="12"/>
    </row>
    <row r="160" spans="3:62" ht="11.1" customHeight="1" x14ac:dyDescent="0.25">
      <c r="C160" s="8"/>
      <c r="D160" s="8"/>
      <c r="F160" s="54"/>
      <c r="G160" s="619"/>
      <c r="H160" s="620"/>
      <c r="I160" s="620"/>
      <c r="J160" s="620"/>
      <c r="K160" s="620"/>
      <c r="L160" s="620"/>
      <c r="M160" s="620"/>
      <c r="N160" s="620"/>
      <c r="O160" s="620"/>
      <c r="P160" s="620"/>
      <c r="Q160" s="620"/>
      <c r="R160" s="620"/>
      <c r="S160" s="620"/>
      <c r="T160" s="620"/>
      <c r="U160" s="620"/>
      <c r="V160" s="620"/>
      <c r="W160" s="620"/>
      <c r="X160" s="620"/>
      <c r="Y160" s="620"/>
      <c r="Z160" s="620"/>
      <c r="AA160" s="621"/>
      <c r="AB160"/>
      <c r="AC160" s="619"/>
      <c r="AD160" s="620"/>
      <c r="AE160" s="620"/>
      <c r="AF160" s="620"/>
      <c r="AG160" s="620"/>
      <c r="AH160" s="620"/>
      <c r="AI160" s="620"/>
      <c r="AJ160" s="620"/>
      <c r="AK160" s="620"/>
      <c r="AL160" s="620"/>
      <c r="AM160" s="620"/>
      <c r="AN160" s="620"/>
      <c r="AO160" s="620"/>
      <c r="AP160" s="620"/>
      <c r="AQ160" s="620"/>
      <c r="AR160" s="620"/>
      <c r="AS160" s="620"/>
      <c r="AT160" s="620"/>
      <c r="AU160" s="620"/>
      <c r="AV160" s="620"/>
      <c r="AW160" s="621"/>
      <c r="AY160" s="11"/>
      <c r="BG160" s="56"/>
      <c r="BI160" s="12"/>
      <c r="BJ160" s="42"/>
    </row>
    <row r="161" spans="3:61" ht="11.1" customHeight="1" x14ac:dyDescent="0.25">
      <c r="C161" s="8"/>
      <c r="D161" s="8"/>
      <c r="F161" s="54"/>
      <c r="G161" s="622"/>
      <c r="H161" s="623"/>
      <c r="I161" s="623"/>
      <c r="J161" s="623"/>
      <c r="K161" s="623"/>
      <c r="L161" s="623"/>
      <c r="M161" s="623"/>
      <c r="N161" s="623"/>
      <c r="O161" s="623"/>
      <c r="P161" s="623"/>
      <c r="Q161" s="623"/>
      <c r="R161" s="623"/>
      <c r="S161" s="623"/>
      <c r="T161" s="623"/>
      <c r="U161" s="623"/>
      <c r="V161" s="623"/>
      <c r="W161" s="623"/>
      <c r="X161" s="623"/>
      <c r="Y161" s="623"/>
      <c r="Z161" s="623"/>
      <c r="AA161" s="624"/>
      <c r="AB161"/>
      <c r="AC161" s="622"/>
      <c r="AD161" s="623"/>
      <c r="AE161" s="623"/>
      <c r="AF161" s="623"/>
      <c r="AG161" s="623"/>
      <c r="AH161" s="623"/>
      <c r="AI161" s="623"/>
      <c r="AJ161" s="623"/>
      <c r="AK161" s="623"/>
      <c r="AL161" s="623"/>
      <c r="AM161" s="623"/>
      <c r="AN161" s="623"/>
      <c r="AO161" s="623"/>
      <c r="AP161" s="623"/>
      <c r="AQ161" s="623"/>
      <c r="AR161" s="623"/>
      <c r="AS161" s="623"/>
      <c r="AT161" s="623"/>
      <c r="AU161" s="623"/>
      <c r="AV161" s="623"/>
      <c r="AW161" s="624"/>
      <c r="AY161" s="11"/>
      <c r="BG161" s="56"/>
      <c r="BI161" s="12"/>
    </row>
    <row r="162" spans="3:61" ht="11.1" customHeight="1" x14ac:dyDescent="0.25">
      <c r="C162" s="8"/>
      <c r="D162" s="8"/>
      <c r="F162" s="54"/>
      <c r="G162" s="622"/>
      <c r="H162" s="623"/>
      <c r="I162" s="623"/>
      <c r="J162" s="623"/>
      <c r="K162" s="623"/>
      <c r="L162" s="623"/>
      <c r="M162" s="623"/>
      <c r="N162" s="623"/>
      <c r="O162" s="623"/>
      <c r="P162" s="623"/>
      <c r="Q162" s="623"/>
      <c r="R162" s="623"/>
      <c r="S162" s="623"/>
      <c r="T162" s="623"/>
      <c r="U162" s="623"/>
      <c r="V162" s="623"/>
      <c r="W162" s="623"/>
      <c r="X162" s="623"/>
      <c r="Y162" s="623"/>
      <c r="Z162" s="623"/>
      <c r="AA162" s="624"/>
      <c r="AB162"/>
      <c r="AC162" s="622"/>
      <c r="AD162" s="623"/>
      <c r="AE162" s="623"/>
      <c r="AF162" s="623"/>
      <c r="AG162" s="623"/>
      <c r="AH162" s="623"/>
      <c r="AI162" s="623"/>
      <c r="AJ162" s="623"/>
      <c r="AK162" s="623"/>
      <c r="AL162" s="623"/>
      <c r="AM162" s="623"/>
      <c r="AN162" s="623"/>
      <c r="AO162" s="623"/>
      <c r="AP162" s="623"/>
      <c r="AQ162" s="623"/>
      <c r="AR162" s="623"/>
      <c r="AS162" s="623"/>
      <c r="AT162" s="623"/>
      <c r="AU162" s="623"/>
      <c r="AV162" s="623"/>
      <c r="AW162" s="624"/>
      <c r="AY162" s="11"/>
      <c r="BG162" s="56"/>
      <c r="BI162" s="12"/>
    </row>
    <row r="163" spans="3:61" ht="11.1" customHeight="1" x14ac:dyDescent="0.25">
      <c r="C163" s="8"/>
      <c r="D163" s="8"/>
      <c r="F163" s="54"/>
      <c r="G163" s="622"/>
      <c r="H163" s="623"/>
      <c r="I163" s="623"/>
      <c r="J163" s="623"/>
      <c r="K163" s="623"/>
      <c r="L163" s="623"/>
      <c r="M163" s="623"/>
      <c r="N163" s="623"/>
      <c r="O163" s="623"/>
      <c r="P163" s="623"/>
      <c r="Q163" s="623"/>
      <c r="R163" s="623"/>
      <c r="S163" s="623"/>
      <c r="T163" s="623"/>
      <c r="U163" s="623"/>
      <c r="V163" s="623"/>
      <c r="W163" s="623"/>
      <c r="X163" s="623"/>
      <c r="Y163" s="623"/>
      <c r="Z163" s="623"/>
      <c r="AA163" s="624"/>
      <c r="AB163"/>
      <c r="AC163" s="622"/>
      <c r="AD163" s="623"/>
      <c r="AE163" s="623"/>
      <c r="AF163" s="623"/>
      <c r="AG163" s="623"/>
      <c r="AH163" s="623"/>
      <c r="AI163" s="623"/>
      <c r="AJ163" s="623"/>
      <c r="AK163" s="623"/>
      <c r="AL163" s="623"/>
      <c r="AM163" s="623"/>
      <c r="AN163" s="623"/>
      <c r="AO163" s="623"/>
      <c r="AP163" s="623"/>
      <c r="AQ163" s="623"/>
      <c r="AR163" s="623"/>
      <c r="AS163" s="623"/>
      <c r="AT163" s="623"/>
      <c r="AU163" s="623"/>
      <c r="AV163" s="623"/>
      <c r="AW163" s="624"/>
      <c r="AY163" s="11"/>
      <c r="BI163" s="12"/>
    </row>
    <row r="164" spans="3:61" ht="11.1" customHeight="1" x14ac:dyDescent="0.25">
      <c r="C164" s="8"/>
      <c r="D164" s="8"/>
      <c r="F164" s="54"/>
      <c r="G164" s="622"/>
      <c r="H164" s="623"/>
      <c r="I164" s="623"/>
      <c r="J164" s="623"/>
      <c r="K164" s="623"/>
      <c r="L164" s="623"/>
      <c r="M164" s="623"/>
      <c r="N164" s="623"/>
      <c r="O164" s="623"/>
      <c r="P164" s="623"/>
      <c r="Q164" s="623"/>
      <c r="R164" s="623"/>
      <c r="S164" s="623"/>
      <c r="T164" s="623"/>
      <c r="U164" s="623"/>
      <c r="V164" s="623"/>
      <c r="W164" s="623"/>
      <c r="X164" s="623"/>
      <c r="Y164" s="623"/>
      <c r="Z164" s="623"/>
      <c r="AA164" s="624"/>
      <c r="AB164"/>
      <c r="AC164" s="622"/>
      <c r="AD164" s="623"/>
      <c r="AE164" s="623"/>
      <c r="AF164" s="623"/>
      <c r="AG164" s="623"/>
      <c r="AH164" s="623"/>
      <c r="AI164" s="623"/>
      <c r="AJ164" s="623"/>
      <c r="AK164" s="623"/>
      <c r="AL164" s="623"/>
      <c r="AM164" s="623"/>
      <c r="AN164" s="623"/>
      <c r="AO164" s="623"/>
      <c r="AP164" s="623"/>
      <c r="AQ164" s="623"/>
      <c r="AR164" s="623"/>
      <c r="AS164" s="623"/>
      <c r="AT164" s="623"/>
      <c r="AU164" s="623"/>
      <c r="AV164" s="623"/>
      <c r="AW164" s="624"/>
      <c r="AY164" s="11"/>
      <c r="BG164" s="55"/>
      <c r="BI164" s="12"/>
    </row>
    <row r="165" spans="3:61" ht="11.1" customHeight="1" x14ac:dyDescent="0.25">
      <c r="C165" s="8"/>
      <c r="D165" s="8"/>
      <c r="F165" s="54"/>
      <c r="G165" s="622"/>
      <c r="H165" s="623"/>
      <c r="I165" s="623"/>
      <c r="J165" s="623"/>
      <c r="K165" s="623"/>
      <c r="L165" s="623"/>
      <c r="M165" s="623"/>
      <c r="N165" s="623"/>
      <c r="O165" s="623"/>
      <c r="P165" s="623"/>
      <c r="Q165" s="623"/>
      <c r="R165" s="623"/>
      <c r="S165" s="623"/>
      <c r="T165" s="623"/>
      <c r="U165" s="623"/>
      <c r="V165" s="623"/>
      <c r="W165" s="623"/>
      <c r="X165" s="623"/>
      <c r="Y165" s="623"/>
      <c r="Z165" s="623"/>
      <c r="AA165" s="624"/>
      <c r="AB165"/>
      <c r="AC165" s="622"/>
      <c r="AD165" s="623"/>
      <c r="AE165" s="623"/>
      <c r="AF165" s="623"/>
      <c r="AG165" s="623"/>
      <c r="AH165" s="623"/>
      <c r="AI165" s="623"/>
      <c r="AJ165" s="623"/>
      <c r="AK165" s="623"/>
      <c r="AL165" s="623"/>
      <c r="AM165" s="623"/>
      <c r="AN165" s="623"/>
      <c r="AO165" s="623"/>
      <c r="AP165" s="623"/>
      <c r="AQ165" s="623"/>
      <c r="AR165" s="623"/>
      <c r="AS165" s="623"/>
      <c r="AT165" s="623"/>
      <c r="AU165" s="623"/>
      <c r="AV165" s="623"/>
      <c r="AW165" s="624"/>
      <c r="AY165" s="11"/>
      <c r="BB165" s="55"/>
      <c r="BG165" s="55"/>
      <c r="BI165" s="12"/>
    </row>
    <row r="166" spans="3:61" ht="11.1" customHeight="1" x14ac:dyDescent="0.25">
      <c r="C166" s="8"/>
      <c r="D166" s="8"/>
      <c r="F166" s="54"/>
      <c r="G166" s="622"/>
      <c r="H166" s="623"/>
      <c r="I166" s="623"/>
      <c r="J166" s="623"/>
      <c r="K166" s="623"/>
      <c r="L166" s="623"/>
      <c r="M166" s="623"/>
      <c r="N166" s="623"/>
      <c r="O166" s="623"/>
      <c r="P166" s="623"/>
      <c r="Q166" s="623"/>
      <c r="R166" s="623"/>
      <c r="S166" s="623"/>
      <c r="T166" s="623"/>
      <c r="U166" s="623"/>
      <c r="V166" s="623"/>
      <c r="W166" s="623"/>
      <c r="X166" s="623"/>
      <c r="Y166" s="623"/>
      <c r="Z166" s="623"/>
      <c r="AA166" s="624"/>
      <c r="AB166"/>
      <c r="AC166" s="622"/>
      <c r="AD166" s="623"/>
      <c r="AE166" s="623"/>
      <c r="AF166" s="623"/>
      <c r="AG166" s="623"/>
      <c r="AH166" s="623"/>
      <c r="AI166" s="623"/>
      <c r="AJ166" s="623"/>
      <c r="AK166" s="623"/>
      <c r="AL166" s="623"/>
      <c r="AM166" s="623"/>
      <c r="AN166" s="623"/>
      <c r="AO166" s="623"/>
      <c r="AP166" s="623"/>
      <c r="AQ166" s="623"/>
      <c r="AR166" s="623"/>
      <c r="AS166" s="623"/>
      <c r="AT166" s="623"/>
      <c r="AU166" s="623"/>
      <c r="AV166" s="623"/>
      <c r="AW166" s="624"/>
      <c r="AY166" s="11"/>
      <c r="BI166" s="12"/>
    </row>
    <row r="167" spans="3:61" ht="11.1" customHeight="1" x14ac:dyDescent="0.25">
      <c r="C167" s="8"/>
      <c r="D167" s="8"/>
      <c r="F167" s="54"/>
      <c r="G167" s="622"/>
      <c r="H167" s="623"/>
      <c r="I167" s="623"/>
      <c r="J167" s="623"/>
      <c r="K167" s="623"/>
      <c r="L167" s="623"/>
      <c r="M167" s="623"/>
      <c r="N167" s="623"/>
      <c r="O167" s="623"/>
      <c r="P167" s="623"/>
      <c r="Q167" s="623"/>
      <c r="R167" s="623"/>
      <c r="S167" s="623"/>
      <c r="T167" s="623"/>
      <c r="U167" s="623"/>
      <c r="V167" s="623"/>
      <c r="W167" s="623"/>
      <c r="X167" s="623"/>
      <c r="Y167" s="623"/>
      <c r="Z167" s="623"/>
      <c r="AA167" s="624"/>
      <c r="AB167"/>
      <c r="AC167" s="622"/>
      <c r="AD167" s="623"/>
      <c r="AE167" s="623"/>
      <c r="AF167" s="623"/>
      <c r="AG167" s="623"/>
      <c r="AH167" s="623"/>
      <c r="AI167" s="623"/>
      <c r="AJ167" s="623"/>
      <c r="AK167" s="623"/>
      <c r="AL167" s="623"/>
      <c r="AM167" s="623"/>
      <c r="AN167" s="623"/>
      <c r="AO167" s="623"/>
      <c r="AP167" s="623"/>
      <c r="AQ167" s="623"/>
      <c r="AR167" s="623"/>
      <c r="AS167" s="623"/>
      <c r="AT167" s="623"/>
      <c r="AU167" s="623"/>
      <c r="AV167" s="623"/>
      <c r="AW167" s="624"/>
      <c r="AY167" s="11"/>
      <c r="BI167" s="12"/>
    </row>
    <row r="168" spans="3:61" ht="11.1" customHeight="1" x14ac:dyDescent="0.25">
      <c r="C168" s="8"/>
      <c r="D168" s="8"/>
      <c r="F168" s="54"/>
      <c r="G168" s="622"/>
      <c r="H168" s="623"/>
      <c r="I168" s="623"/>
      <c r="J168" s="623"/>
      <c r="K168" s="623"/>
      <c r="L168" s="623"/>
      <c r="M168" s="623"/>
      <c r="N168" s="623"/>
      <c r="O168" s="623"/>
      <c r="P168" s="623"/>
      <c r="Q168" s="623"/>
      <c r="R168" s="623"/>
      <c r="S168" s="623"/>
      <c r="T168" s="623"/>
      <c r="U168" s="623"/>
      <c r="V168" s="623"/>
      <c r="W168" s="623"/>
      <c r="X168" s="623"/>
      <c r="Y168" s="623"/>
      <c r="Z168" s="623"/>
      <c r="AA168" s="624"/>
      <c r="AB168"/>
      <c r="AC168" s="622"/>
      <c r="AD168" s="623"/>
      <c r="AE168" s="623"/>
      <c r="AF168" s="623"/>
      <c r="AG168" s="623"/>
      <c r="AH168" s="623"/>
      <c r="AI168" s="623"/>
      <c r="AJ168" s="623"/>
      <c r="AK168" s="623"/>
      <c r="AL168" s="623"/>
      <c r="AM168" s="623"/>
      <c r="AN168" s="623"/>
      <c r="AO168" s="623"/>
      <c r="AP168" s="623"/>
      <c r="AQ168" s="623"/>
      <c r="AR168" s="623"/>
      <c r="AS168" s="623"/>
      <c r="AT168" s="623"/>
      <c r="AU168" s="623"/>
      <c r="AV168" s="623"/>
      <c r="AW168" s="624"/>
      <c r="AY168" s="11"/>
      <c r="BI168" s="12"/>
    </row>
    <row r="169" spans="3:61" ht="11.1" customHeight="1" x14ac:dyDescent="0.25">
      <c r="C169" s="8"/>
      <c r="D169" s="8"/>
      <c r="F169" s="54"/>
      <c r="G169" s="622"/>
      <c r="H169" s="623"/>
      <c r="I169" s="623"/>
      <c r="J169" s="623"/>
      <c r="K169" s="623"/>
      <c r="L169" s="623"/>
      <c r="M169" s="623"/>
      <c r="N169" s="623"/>
      <c r="O169" s="623"/>
      <c r="P169" s="623"/>
      <c r="Q169" s="623"/>
      <c r="R169" s="623"/>
      <c r="S169" s="623"/>
      <c r="T169" s="623"/>
      <c r="U169" s="623"/>
      <c r="V169" s="623"/>
      <c r="W169" s="623"/>
      <c r="X169" s="623"/>
      <c r="Y169" s="623"/>
      <c r="Z169" s="623"/>
      <c r="AA169" s="624"/>
      <c r="AB169"/>
      <c r="AC169" s="622"/>
      <c r="AD169" s="623"/>
      <c r="AE169" s="623"/>
      <c r="AF169" s="623"/>
      <c r="AG169" s="623"/>
      <c r="AH169" s="623"/>
      <c r="AI169" s="623"/>
      <c r="AJ169" s="623"/>
      <c r="AK169" s="623"/>
      <c r="AL169" s="623"/>
      <c r="AM169" s="623"/>
      <c r="AN169" s="623"/>
      <c r="AO169" s="623"/>
      <c r="AP169" s="623"/>
      <c r="AQ169" s="623"/>
      <c r="AR169" s="623"/>
      <c r="AS169" s="623"/>
      <c r="AT169" s="623"/>
      <c r="AU169" s="623"/>
      <c r="AV169" s="623"/>
      <c r="AW169" s="624"/>
      <c r="AY169" s="11"/>
      <c r="BI169" s="12"/>
    </row>
    <row r="170" spans="3:61" ht="11.1" customHeight="1" x14ac:dyDescent="0.25">
      <c r="C170" s="8"/>
      <c r="D170" s="8"/>
      <c r="F170" s="54"/>
      <c r="G170" s="622"/>
      <c r="H170" s="623"/>
      <c r="I170" s="623"/>
      <c r="J170" s="623"/>
      <c r="K170" s="623"/>
      <c r="L170" s="623"/>
      <c r="M170" s="623"/>
      <c r="N170" s="623"/>
      <c r="O170" s="623"/>
      <c r="P170" s="623"/>
      <c r="Q170" s="623"/>
      <c r="R170" s="623"/>
      <c r="S170" s="623"/>
      <c r="T170" s="623"/>
      <c r="U170" s="623"/>
      <c r="V170" s="623"/>
      <c r="W170" s="623"/>
      <c r="X170" s="623"/>
      <c r="Y170" s="623"/>
      <c r="Z170" s="623"/>
      <c r="AA170" s="624"/>
      <c r="AB170"/>
      <c r="AC170" s="622"/>
      <c r="AD170" s="623"/>
      <c r="AE170" s="623"/>
      <c r="AF170" s="623"/>
      <c r="AG170" s="623"/>
      <c r="AH170" s="623"/>
      <c r="AI170" s="623"/>
      <c r="AJ170" s="623"/>
      <c r="AK170" s="623"/>
      <c r="AL170" s="623"/>
      <c r="AM170" s="623"/>
      <c r="AN170" s="623"/>
      <c r="AO170" s="623"/>
      <c r="AP170" s="623"/>
      <c r="AQ170" s="623"/>
      <c r="AR170" s="623"/>
      <c r="AS170" s="623"/>
      <c r="AT170" s="623"/>
      <c r="AU170" s="623"/>
      <c r="AV170" s="623"/>
      <c r="AW170" s="624"/>
      <c r="AY170" s="11"/>
      <c r="BI170" s="12"/>
    </row>
    <row r="171" spans="3:61" ht="11.1" customHeight="1" x14ac:dyDescent="0.25">
      <c r="C171" s="8"/>
      <c r="D171" s="8"/>
      <c r="F171" s="54"/>
      <c r="G171" s="622"/>
      <c r="H171" s="623"/>
      <c r="I171" s="623"/>
      <c r="J171" s="623"/>
      <c r="K171" s="623"/>
      <c r="L171" s="623"/>
      <c r="M171" s="623"/>
      <c r="N171" s="623"/>
      <c r="O171" s="623"/>
      <c r="P171" s="623"/>
      <c r="Q171" s="623"/>
      <c r="R171" s="623"/>
      <c r="S171" s="623"/>
      <c r="T171" s="623"/>
      <c r="U171" s="623"/>
      <c r="V171" s="623"/>
      <c r="W171" s="623"/>
      <c r="X171" s="623"/>
      <c r="Y171" s="623"/>
      <c r="Z171" s="623"/>
      <c r="AA171" s="624"/>
      <c r="AB171"/>
      <c r="AC171" s="622"/>
      <c r="AD171" s="623"/>
      <c r="AE171" s="623"/>
      <c r="AF171" s="623"/>
      <c r="AG171" s="623"/>
      <c r="AH171" s="623"/>
      <c r="AI171" s="623"/>
      <c r="AJ171" s="623"/>
      <c r="AK171" s="623"/>
      <c r="AL171" s="623"/>
      <c r="AM171" s="623"/>
      <c r="AN171" s="623"/>
      <c r="AO171" s="623"/>
      <c r="AP171" s="623"/>
      <c r="AQ171" s="623"/>
      <c r="AR171" s="623"/>
      <c r="AS171" s="623"/>
      <c r="AT171" s="623"/>
      <c r="AU171" s="623"/>
      <c r="AV171" s="623"/>
      <c r="AW171" s="624"/>
      <c r="AY171" s="11"/>
      <c r="BI171" s="12"/>
    </row>
    <row r="172" spans="3:61" ht="11.1" customHeight="1" x14ac:dyDescent="0.25">
      <c r="C172" s="8"/>
      <c r="D172" s="8"/>
      <c r="F172" s="54"/>
      <c r="G172" s="622"/>
      <c r="H172" s="623"/>
      <c r="I172" s="623"/>
      <c r="J172" s="623"/>
      <c r="K172" s="623"/>
      <c r="L172" s="623"/>
      <c r="M172" s="623"/>
      <c r="N172" s="623"/>
      <c r="O172" s="623"/>
      <c r="P172" s="623"/>
      <c r="Q172" s="623"/>
      <c r="R172" s="623"/>
      <c r="S172" s="623"/>
      <c r="T172" s="623"/>
      <c r="U172" s="623"/>
      <c r="V172" s="623"/>
      <c r="W172" s="623"/>
      <c r="X172" s="623"/>
      <c r="Y172" s="623"/>
      <c r="Z172" s="623"/>
      <c r="AA172" s="624"/>
      <c r="AB172"/>
      <c r="AC172" s="622"/>
      <c r="AD172" s="623"/>
      <c r="AE172" s="623"/>
      <c r="AF172" s="623"/>
      <c r="AG172" s="623"/>
      <c r="AH172" s="623"/>
      <c r="AI172" s="623"/>
      <c r="AJ172" s="623"/>
      <c r="AK172" s="623"/>
      <c r="AL172" s="623"/>
      <c r="AM172" s="623"/>
      <c r="AN172" s="623"/>
      <c r="AO172" s="623"/>
      <c r="AP172" s="623"/>
      <c r="AQ172" s="623"/>
      <c r="AR172" s="623"/>
      <c r="AS172" s="623"/>
      <c r="AT172" s="623"/>
      <c r="AU172" s="623"/>
      <c r="AV172" s="623"/>
      <c r="AW172" s="624"/>
      <c r="AY172" s="11"/>
      <c r="BI172" s="12"/>
    </row>
    <row r="173" spans="3:61" ht="11.1" customHeight="1" x14ac:dyDescent="0.25">
      <c r="C173" s="8"/>
      <c r="D173" s="8"/>
      <c r="F173" s="54"/>
      <c r="G173" s="622"/>
      <c r="H173" s="623"/>
      <c r="I173" s="623"/>
      <c r="J173" s="623"/>
      <c r="K173" s="623"/>
      <c r="L173" s="623"/>
      <c r="M173" s="623"/>
      <c r="N173" s="623"/>
      <c r="O173" s="623"/>
      <c r="P173" s="623"/>
      <c r="Q173" s="623"/>
      <c r="R173" s="623"/>
      <c r="S173" s="623"/>
      <c r="T173" s="623"/>
      <c r="U173" s="623"/>
      <c r="V173" s="623"/>
      <c r="W173" s="623"/>
      <c r="X173" s="623"/>
      <c r="Y173" s="623"/>
      <c r="Z173" s="623"/>
      <c r="AA173" s="624"/>
      <c r="AB173"/>
      <c r="AC173" s="622"/>
      <c r="AD173" s="623"/>
      <c r="AE173" s="623"/>
      <c r="AF173" s="623"/>
      <c r="AG173" s="623"/>
      <c r="AH173" s="623"/>
      <c r="AI173" s="623"/>
      <c r="AJ173" s="623"/>
      <c r="AK173" s="623"/>
      <c r="AL173" s="623"/>
      <c r="AM173" s="623"/>
      <c r="AN173" s="623"/>
      <c r="AO173" s="623"/>
      <c r="AP173" s="623"/>
      <c r="AQ173" s="623"/>
      <c r="AR173" s="623"/>
      <c r="AS173" s="623"/>
      <c r="AT173" s="623"/>
      <c r="AU173" s="623"/>
      <c r="AV173" s="623"/>
      <c r="AW173" s="624"/>
      <c r="AY173" s="11"/>
      <c r="BI173" s="12"/>
    </row>
    <row r="174" spans="3:61" ht="11.1" customHeight="1" x14ac:dyDescent="0.25">
      <c r="C174" s="8"/>
      <c r="D174" s="8"/>
      <c r="F174" s="54"/>
      <c r="G174" s="625" t="s">
        <v>270</v>
      </c>
      <c r="H174" s="626"/>
      <c r="I174" s="626"/>
      <c r="J174" s="626"/>
      <c r="K174" s="626"/>
      <c r="L174" s="626"/>
      <c r="M174" s="626"/>
      <c r="N174" s="626"/>
      <c r="O174" s="626"/>
      <c r="P174" s="626"/>
      <c r="Q174" s="626"/>
      <c r="R174" s="626"/>
      <c r="S174" s="626"/>
      <c r="T174" s="626"/>
      <c r="U174" s="626"/>
      <c r="V174" s="626"/>
      <c r="W174" s="626"/>
      <c r="X174" s="626"/>
      <c r="Y174" s="626"/>
      <c r="Z174" s="626"/>
      <c r="AA174" s="627"/>
      <c r="AB174"/>
      <c r="AC174" s="625" t="s">
        <v>270</v>
      </c>
      <c r="AD174" s="626"/>
      <c r="AE174" s="626"/>
      <c r="AF174" s="626"/>
      <c r="AG174" s="626"/>
      <c r="AH174" s="626"/>
      <c r="AI174" s="626"/>
      <c r="AJ174" s="626"/>
      <c r="AK174" s="626"/>
      <c r="AL174" s="626"/>
      <c r="AM174" s="626"/>
      <c r="AN174" s="626"/>
      <c r="AO174" s="626"/>
      <c r="AP174" s="626"/>
      <c r="AQ174" s="626"/>
      <c r="AR174" s="626"/>
      <c r="AS174" s="626"/>
      <c r="AT174" s="626"/>
      <c r="AU174" s="626"/>
      <c r="AV174" s="626"/>
      <c r="AW174" s="627"/>
      <c r="AY174" s="11"/>
      <c r="BI174" s="12"/>
    </row>
    <row r="175" spans="3:61" ht="11.1" customHeight="1" x14ac:dyDescent="0.25">
      <c r="C175" s="8"/>
      <c r="D175" s="8"/>
      <c r="F175" s="54"/>
      <c r="G175" s="628"/>
      <c r="H175" s="629"/>
      <c r="I175" s="629"/>
      <c r="J175" s="629"/>
      <c r="K175" s="629"/>
      <c r="L175" s="629"/>
      <c r="M175" s="629"/>
      <c r="N175" s="629"/>
      <c r="O175" s="629"/>
      <c r="P175" s="629"/>
      <c r="Q175" s="629"/>
      <c r="R175" s="629"/>
      <c r="S175" s="629"/>
      <c r="T175" s="629"/>
      <c r="U175" s="629"/>
      <c r="V175" s="629"/>
      <c r="W175" s="629"/>
      <c r="X175" s="629"/>
      <c r="Y175" s="629"/>
      <c r="Z175" s="629"/>
      <c r="AA175" s="630"/>
      <c r="AB175"/>
      <c r="AC175" s="628"/>
      <c r="AD175" s="629"/>
      <c r="AE175" s="629"/>
      <c r="AF175" s="629"/>
      <c r="AG175" s="629"/>
      <c r="AH175" s="629"/>
      <c r="AI175" s="629"/>
      <c r="AJ175" s="629"/>
      <c r="AK175" s="629"/>
      <c r="AL175" s="629"/>
      <c r="AM175" s="629"/>
      <c r="AN175" s="629"/>
      <c r="AO175" s="629"/>
      <c r="AP175" s="629"/>
      <c r="AQ175" s="629"/>
      <c r="AR175" s="629"/>
      <c r="AS175" s="629"/>
      <c r="AT175" s="629"/>
      <c r="AU175" s="629"/>
      <c r="AV175" s="629"/>
      <c r="AW175" s="630"/>
      <c r="AY175" s="11"/>
      <c r="BI175" s="12"/>
    </row>
    <row r="176" spans="3:61" ht="11.1" customHeight="1" x14ac:dyDescent="0.25">
      <c r="C176" s="8"/>
      <c r="D176" s="8"/>
      <c r="F176" s="54"/>
      <c r="G176" s="619"/>
      <c r="H176" s="620"/>
      <c r="I176" s="620"/>
      <c r="J176" s="620"/>
      <c r="K176" s="620"/>
      <c r="L176" s="620"/>
      <c r="M176" s="620"/>
      <c r="N176" s="620"/>
      <c r="O176" s="620"/>
      <c r="P176" s="620"/>
      <c r="Q176" s="620"/>
      <c r="R176" s="620"/>
      <c r="S176" s="620"/>
      <c r="T176" s="620"/>
      <c r="U176" s="620"/>
      <c r="V176" s="620"/>
      <c r="W176" s="620"/>
      <c r="X176" s="620"/>
      <c r="Y176" s="620"/>
      <c r="Z176" s="620"/>
      <c r="AA176" s="621"/>
      <c r="AB176"/>
      <c r="AC176" s="619"/>
      <c r="AD176" s="620"/>
      <c r="AE176" s="620"/>
      <c r="AF176" s="620"/>
      <c r="AG176" s="620"/>
      <c r="AH176" s="620"/>
      <c r="AI176" s="620"/>
      <c r="AJ176" s="620"/>
      <c r="AK176" s="620"/>
      <c r="AL176" s="620"/>
      <c r="AM176" s="620"/>
      <c r="AN176" s="620"/>
      <c r="AO176" s="620"/>
      <c r="AP176" s="620"/>
      <c r="AQ176" s="620"/>
      <c r="AR176" s="620"/>
      <c r="AS176" s="620"/>
      <c r="AT176" s="620"/>
      <c r="AU176" s="620"/>
      <c r="AV176" s="620"/>
      <c r="AW176" s="621"/>
      <c r="AY176" s="11"/>
      <c r="BI176" s="12"/>
    </row>
    <row r="177" spans="3:61" ht="11.1" customHeight="1" x14ac:dyDescent="0.25">
      <c r="C177" s="8"/>
      <c r="D177" s="8"/>
      <c r="F177" s="54"/>
      <c r="G177" s="622"/>
      <c r="H177" s="623"/>
      <c r="I177" s="623"/>
      <c r="J177" s="623"/>
      <c r="K177" s="623"/>
      <c r="L177" s="623"/>
      <c r="M177" s="623"/>
      <c r="N177" s="623"/>
      <c r="O177" s="623"/>
      <c r="P177" s="623"/>
      <c r="Q177" s="623"/>
      <c r="R177" s="623"/>
      <c r="S177" s="623"/>
      <c r="T177" s="623"/>
      <c r="U177" s="623"/>
      <c r="V177" s="623"/>
      <c r="W177" s="623"/>
      <c r="X177" s="623"/>
      <c r="Y177" s="623"/>
      <c r="Z177" s="623"/>
      <c r="AA177" s="624"/>
      <c r="AB177"/>
      <c r="AC177" s="622"/>
      <c r="AD177" s="623"/>
      <c r="AE177" s="623"/>
      <c r="AF177" s="623"/>
      <c r="AG177" s="623"/>
      <c r="AH177" s="623"/>
      <c r="AI177" s="623"/>
      <c r="AJ177" s="623"/>
      <c r="AK177" s="623"/>
      <c r="AL177" s="623"/>
      <c r="AM177" s="623"/>
      <c r="AN177" s="623"/>
      <c r="AO177" s="623"/>
      <c r="AP177" s="623"/>
      <c r="AQ177" s="623"/>
      <c r="AR177" s="623"/>
      <c r="AS177" s="623"/>
      <c r="AT177" s="623"/>
      <c r="AU177" s="623"/>
      <c r="AV177" s="623"/>
      <c r="AW177" s="624"/>
      <c r="AY177" s="11"/>
      <c r="BI177" s="12"/>
    </row>
    <row r="178" spans="3:61" ht="11.1" customHeight="1" x14ac:dyDescent="0.25">
      <c r="C178" s="8"/>
      <c r="D178" s="8"/>
      <c r="F178" s="54"/>
      <c r="G178" s="622"/>
      <c r="H178" s="623"/>
      <c r="I178" s="623"/>
      <c r="J178" s="623"/>
      <c r="K178" s="623"/>
      <c r="L178" s="623"/>
      <c r="M178" s="623"/>
      <c r="N178" s="623"/>
      <c r="O178" s="623"/>
      <c r="P178" s="623"/>
      <c r="Q178" s="623"/>
      <c r="R178" s="623"/>
      <c r="S178" s="623"/>
      <c r="T178" s="623"/>
      <c r="U178" s="623"/>
      <c r="V178" s="623"/>
      <c r="W178" s="623"/>
      <c r="X178" s="623"/>
      <c r="Y178" s="623"/>
      <c r="Z178" s="623"/>
      <c r="AA178" s="624"/>
      <c r="AB178"/>
      <c r="AC178" s="622"/>
      <c r="AD178" s="623"/>
      <c r="AE178" s="623"/>
      <c r="AF178" s="623"/>
      <c r="AG178" s="623"/>
      <c r="AH178" s="623"/>
      <c r="AI178" s="623"/>
      <c r="AJ178" s="623"/>
      <c r="AK178" s="623"/>
      <c r="AL178" s="623"/>
      <c r="AM178" s="623"/>
      <c r="AN178" s="623"/>
      <c r="AO178" s="623"/>
      <c r="AP178" s="623"/>
      <c r="AQ178" s="623"/>
      <c r="AR178" s="623"/>
      <c r="AS178" s="623"/>
      <c r="AT178" s="623"/>
      <c r="AU178" s="623"/>
      <c r="AV178" s="623"/>
      <c r="AW178" s="624"/>
      <c r="AY178" s="11"/>
      <c r="BI178" s="12"/>
    </row>
    <row r="179" spans="3:61" ht="11.1" customHeight="1" x14ac:dyDescent="0.25">
      <c r="C179" s="8"/>
      <c r="D179" s="8"/>
      <c r="F179" s="54"/>
      <c r="G179" s="622"/>
      <c r="H179" s="623"/>
      <c r="I179" s="623"/>
      <c r="J179" s="623"/>
      <c r="K179" s="623"/>
      <c r="L179" s="623"/>
      <c r="M179" s="623"/>
      <c r="N179" s="623"/>
      <c r="O179" s="623"/>
      <c r="P179" s="623"/>
      <c r="Q179" s="623"/>
      <c r="R179" s="623"/>
      <c r="S179" s="623"/>
      <c r="T179" s="623"/>
      <c r="U179" s="623"/>
      <c r="V179" s="623"/>
      <c r="W179" s="623"/>
      <c r="X179" s="623"/>
      <c r="Y179" s="623"/>
      <c r="Z179" s="623"/>
      <c r="AA179" s="624"/>
      <c r="AB179"/>
      <c r="AC179" s="622"/>
      <c r="AD179" s="623"/>
      <c r="AE179" s="623"/>
      <c r="AF179" s="623"/>
      <c r="AG179" s="623"/>
      <c r="AH179" s="623"/>
      <c r="AI179" s="623"/>
      <c r="AJ179" s="623"/>
      <c r="AK179" s="623"/>
      <c r="AL179" s="623"/>
      <c r="AM179" s="623"/>
      <c r="AN179" s="623"/>
      <c r="AO179" s="623"/>
      <c r="AP179" s="623"/>
      <c r="AQ179" s="623"/>
      <c r="AR179" s="623"/>
      <c r="AS179" s="623"/>
      <c r="AT179" s="623"/>
      <c r="AU179" s="623"/>
      <c r="AV179" s="623"/>
      <c r="AW179" s="624"/>
      <c r="AY179" s="11"/>
      <c r="BI179" s="12"/>
    </row>
    <row r="180" spans="3:61" ht="11.1" customHeight="1" x14ac:dyDescent="0.25">
      <c r="C180" s="8"/>
      <c r="D180" s="8"/>
      <c r="F180" s="54"/>
      <c r="G180" s="622"/>
      <c r="H180" s="623"/>
      <c r="I180" s="623"/>
      <c r="J180" s="623"/>
      <c r="K180" s="623"/>
      <c r="L180" s="623"/>
      <c r="M180" s="623"/>
      <c r="N180" s="623"/>
      <c r="O180" s="623"/>
      <c r="P180" s="623"/>
      <c r="Q180" s="623"/>
      <c r="R180" s="623"/>
      <c r="S180" s="623"/>
      <c r="T180" s="623"/>
      <c r="U180" s="623"/>
      <c r="V180" s="623"/>
      <c r="W180" s="623"/>
      <c r="X180" s="623"/>
      <c r="Y180" s="623"/>
      <c r="Z180" s="623"/>
      <c r="AA180" s="624"/>
      <c r="AB180"/>
      <c r="AC180" s="622"/>
      <c r="AD180" s="623"/>
      <c r="AE180" s="623"/>
      <c r="AF180" s="623"/>
      <c r="AG180" s="623"/>
      <c r="AH180" s="623"/>
      <c r="AI180" s="623"/>
      <c r="AJ180" s="623"/>
      <c r="AK180" s="623"/>
      <c r="AL180" s="623"/>
      <c r="AM180" s="623"/>
      <c r="AN180" s="623"/>
      <c r="AO180" s="623"/>
      <c r="AP180" s="623"/>
      <c r="AQ180" s="623"/>
      <c r="AR180" s="623"/>
      <c r="AS180" s="623"/>
      <c r="AT180" s="623"/>
      <c r="AU180" s="623"/>
      <c r="AV180" s="623"/>
      <c r="AW180" s="624"/>
      <c r="AY180" s="11"/>
      <c r="BI180" s="12"/>
    </row>
    <row r="181" spans="3:61" ht="11.1" customHeight="1" x14ac:dyDescent="0.25">
      <c r="C181" s="8"/>
      <c r="D181" s="8"/>
      <c r="F181" s="54"/>
      <c r="G181" s="622"/>
      <c r="H181" s="623"/>
      <c r="I181" s="623"/>
      <c r="J181" s="623"/>
      <c r="K181" s="623"/>
      <c r="L181" s="623"/>
      <c r="M181" s="623"/>
      <c r="N181" s="623"/>
      <c r="O181" s="623"/>
      <c r="P181" s="623"/>
      <c r="Q181" s="623"/>
      <c r="R181" s="623"/>
      <c r="S181" s="623"/>
      <c r="T181" s="623"/>
      <c r="U181" s="623"/>
      <c r="V181" s="623"/>
      <c r="W181" s="623"/>
      <c r="X181" s="623"/>
      <c r="Y181" s="623"/>
      <c r="Z181" s="623"/>
      <c r="AA181" s="624"/>
      <c r="AB181"/>
      <c r="AC181" s="622"/>
      <c r="AD181" s="623"/>
      <c r="AE181" s="623"/>
      <c r="AF181" s="623"/>
      <c r="AG181" s="623"/>
      <c r="AH181" s="623"/>
      <c r="AI181" s="623"/>
      <c r="AJ181" s="623"/>
      <c r="AK181" s="623"/>
      <c r="AL181" s="623"/>
      <c r="AM181" s="623"/>
      <c r="AN181" s="623"/>
      <c r="AO181" s="623"/>
      <c r="AP181" s="623"/>
      <c r="AQ181" s="623"/>
      <c r="AR181" s="623"/>
      <c r="AS181" s="623"/>
      <c r="AT181" s="623"/>
      <c r="AU181" s="623"/>
      <c r="AV181" s="623"/>
      <c r="AW181" s="624"/>
      <c r="AY181" s="11"/>
      <c r="BI181" s="12"/>
    </row>
    <row r="182" spans="3:61" ht="11.1" customHeight="1" x14ac:dyDescent="0.25">
      <c r="C182" s="8"/>
      <c r="D182" s="8"/>
      <c r="F182" s="54"/>
      <c r="G182" s="622"/>
      <c r="H182" s="623"/>
      <c r="I182" s="623"/>
      <c r="J182" s="623"/>
      <c r="K182" s="623"/>
      <c r="L182" s="623"/>
      <c r="M182" s="623"/>
      <c r="N182" s="623"/>
      <c r="O182" s="623"/>
      <c r="P182" s="623"/>
      <c r="Q182" s="623"/>
      <c r="R182" s="623"/>
      <c r="S182" s="623"/>
      <c r="T182" s="623"/>
      <c r="U182" s="623"/>
      <c r="V182" s="623"/>
      <c r="W182" s="623"/>
      <c r="X182" s="623"/>
      <c r="Y182" s="623"/>
      <c r="Z182" s="623"/>
      <c r="AA182" s="624"/>
      <c r="AB182"/>
      <c r="AC182" s="622"/>
      <c r="AD182" s="623"/>
      <c r="AE182" s="623"/>
      <c r="AF182" s="623"/>
      <c r="AG182" s="623"/>
      <c r="AH182" s="623"/>
      <c r="AI182" s="623"/>
      <c r="AJ182" s="623"/>
      <c r="AK182" s="623"/>
      <c r="AL182" s="623"/>
      <c r="AM182" s="623"/>
      <c r="AN182" s="623"/>
      <c r="AO182" s="623"/>
      <c r="AP182" s="623"/>
      <c r="AQ182" s="623"/>
      <c r="AR182" s="623"/>
      <c r="AS182" s="623"/>
      <c r="AT182" s="623"/>
      <c r="AU182" s="623"/>
      <c r="AV182" s="623"/>
      <c r="AW182" s="624"/>
      <c r="AY182" s="11"/>
      <c r="BI182" s="12"/>
    </row>
    <row r="183" spans="3:61" ht="11.1" customHeight="1" x14ac:dyDescent="0.25">
      <c r="C183" s="8"/>
      <c r="D183" s="8"/>
      <c r="F183" s="54"/>
      <c r="G183" s="622"/>
      <c r="H183" s="623"/>
      <c r="I183" s="623"/>
      <c r="J183" s="623"/>
      <c r="K183" s="623"/>
      <c r="L183" s="623"/>
      <c r="M183" s="623"/>
      <c r="N183" s="623"/>
      <c r="O183" s="623"/>
      <c r="P183" s="623"/>
      <c r="Q183" s="623"/>
      <c r="R183" s="623"/>
      <c r="S183" s="623"/>
      <c r="T183" s="623"/>
      <c r="U183" s="623"/>
      <c r="V183" s="623"/>
      <c r="W183" s="623"/>
      <c r="X183" s="623"/>
      <c r="Y183" s="623"/>
      <c r="Z183" s="623"/>
      <c r="AA183" s="624"/>
      <c r="AB183"/>
      <c r="AC183" s="622"/>
      <c r="AD183" s="623"/>
      <c r="AE183" s="623"/>
      <c r="AF183" s="623"/>
      <c r="AG183" s="623"/>
      <c r="AH183" s="623"/>
      <c r="AI183" s="623"/>
      <c r="AJ183" s="623"/>
      <c r="AK183" s="623"/>
      <c r="AL183" s="623"/>
      <c r="AM183" s="623"/>
      <c r="AN183" s="623"/>
      <c r="AO183" s="623"/>
      <c r="AP183" s="623"/>
      <c r="AQ183" s="623"/>
      <c r="AR183" s="623"/>
      <c r="AS183" s="623"/>
      <c r="AT183" s="623"/>
      <c r="AU183" s="623"/>
      <c r="AV183" s="623"/>
      <c r="AW183" s="624"/>
      <c r="AY183" s="11"/>
      <c r="BI183" s="12"/>
    </row>
    <row r="184" spans="3:61" ht="11.1" customHeight="1" x14ac:dyDescent="0.25">
      <c r="C184" s="8"/>
      <c r="D184" s="8"/>
      <c r="F184" s="54"/>
      <c r="G184" s="622"/>
      <c r="H184" s="623"/>
      <c r="I184" s="623"/>
      <c r="J184" s="623"/>
      <c r="K184" s="623"/>
      <c r="L184" s="623"/>
      <c r="M184" s="623"/>
      <c r="N184" s="623"/>
      <c r="O184" s="623"/>
      <c r="P184" s="623"/>
      <c r="Q184" s="623"/>
      <c r="R184" s="623"/>
      <c r="S184" s="623"/>
      <c r="T184" s="623"/>
      <c r="U184" s="623"/>
      <c r="V184" s="623"/>
      <c r="W184" s="623"/>
      <c r="X184" s="623"/>
      <c r="Y184" s="623"/>
      <c r="Z184" s="623"/>
      <c r="AA184" s="624"/>
      <c r="AB184"/>
      <c r="AC184" s="622"/>
      <c r="AD184" s="623"/>
      <c r="AE184" s="623"/>
      <c r="AF184" s="623"/>
      <c r="AG184" s="623"/>
      <c r="AH184" s="623"/>
      <c r="AI184" s="623"/>
      <c r="AJ184" s="623"/>
      <c r="AK184" s="623"/>
      <c r="AL184" s="623"/>
      <c r="AM184" s="623"/>
      <c r="AN184" s="623"/>
      <c r="AO184" s="623"/>
      <c r="AP184" s="623"/>
      <c r="AQ184" s="623"/>
      <c r="AR184" s="623"/>
      <c r="AS184" s="623"/>
      <c r="AT184" s="623"/>
      <c r="AU184" s="623"/>
      <c r="AV184" s="623"/>
      <c r="AW184" s="624"/>
      <c r="AY184" s="11"/>
      <c r="BI184" s="12"/>
    </row>
    <row r="185" spans="3:61" ht="11.1" customHeight="1" x14ac:dyDescent="0.25">
      <c r="C185" s="8"/>
      <c r="D185" s="8"/>
      <c r="F185" s="54"/>
      <c r="G185" s="622"/>
      <c r="H185" s="623"/>
      <c r="I185" s="623"/>
      <c r="J185" s="623"/>
      <c r="K185" s="623"/>
      <c r="L185" s="623"/>
      <c r="M185" s="623"/>
      <c r="N185" s="623"/>
      <c r="O185" s="623"/>
      <c r="P185" s="623"/>
      <c r="Q185" s="623"/>
      <c r="R185" s="623"/>
      <c r="S185" s="623"/>
      <c r="T185" s="623"/>
      <c r="U185" s="623"/>
      <c r="V185" s="623"/>
      <c r="W185" s="623"/>
      <c r="X185" s="623"/>
      <c r="Y185" s="623"/>
      <c r="Z185" s="623"/>
      <c r="AA185" s="624"/>
      <c r="AB185"/>
      <c r="AC185" s="622"/>
      <c r="AD185" s="623"/>
      <c r="AE185" s="623"/>
      <c r="AF185" s="623"/>
      <c r="AG185" s="623"/>
      <c r="AH185" s="623"/>
      <c r="AI185" s="623"/>
      <c r="AJ185" s="623"/>
      <c r="AK185" s="623"/>
      <c r="AL185" s="623"/>
      <c r="AM185" s="623"/>
      <c r="AN185" s="623"/>
      <c r="AO185" s="623"/>
      <c r="AP185" s="623"/>
      <c r="AQ185" s="623"/>
      <c r="AR185" s="623"/>
      <c r="AS185" s="623"/>
      <c r="AT185" s="623"/>
      <c r="AU185" s="623"/>
      <c r="AV185" s="623"/>
      <c r="AW185" s="624"/>
      <c r="AY185" s="11"/>
      <c r="BI185" s="12"/>
    </row>
    <row r="186" spans="3:61" ht="11.1" customHeight="1" x14ac:dyDescent="0.25">
      <c r="C186" s="8"/>
      <c r="D186" s="8"/>
      <c r="F186" s="54"/>
      <c r="G186" s="622"/>
      <c r="H186" s="623"/>
      <c r="I186" s="623"/>
      <c r="J186" s="623"/>
      <c r="K186" s="623"/>
      <c r="L186" s="623"/>
      <c r="M186" s="623"/>
      <c r="N186" s="623"/>
      <c r="O186" s="623"/>
      <c r="P186" s="623"/>
      <c r="Q186" s="623"/>
      <c r="R186" s="623"/>
      <c r="S186" s="623"/>
      <c r="T186" s="623"/>
      <c r="U186" s="623"/>
      <c r="V186" s="623"/>
      <c r="W186" s="623"/>
      <c r="X186" s="623"/>
      <c r="Y186" s="623"/>
      <c r="Z186" s="623"/>
      <c r="AA186" s="624"/>
      <c r="AB186"/>
      <c r="AC186" s="622"/>
      <c r="AD186" s="623"/>
      <c r="AE186" s="623"/>
      <c r="AF186" s="623"/>
      <c r="AG186" s="623"/>
      <c r="AH186" s="623"/>
      <c r="AI186" s="623"/>
      <c r="AJ186" s="623"/>
      <c r="AK186" s="623"/>
      <c r="AL186" s="623"/>
      <c r="AM186" s="623"/>
      <c r="AN186" s="623"/>
      <c r="AO186" s="623"/>
      <c r="AP186" s="623"/>
      <c r="AQ186" s="623"/>
      <c r="AR186" s="623"/>
      <c r="AS186" s="623"/>
      <c r="AT186" s="623"/>
      <c r="AU186" s="623"/>
      <c r="AV186" s="623"/>
      <c r="AW186" s="624"/>
      <c r="AY186" s="11"/>
      <c r="BI186" s="12"/>
    </row>
    <row r="187" spans="3:61" ht="11.1" customHeight="1" x14ac:dyDescent="0.25">
      <c r="C187" s="8"/>
      <c r="D187" s="8"/>
      <c r="F187" s="54"/>
      <c r="G187" s="622"/>
      <c r="H187" s="623"/>
      <c r="I187" s="623"/>
      <c r="J187" s="623"/>
      <c r="K187" s="623"/>
      <c r="L187" s="623"/>
      <c r="M187" s="623"/>
      <c r="N187" s="623"/>
      <c r="O187" s="623"/>
      <c r="P187" s="623"/>
      <c r="Q187" s="623"/>
      <c r="R187" s="623"/>
      <c r="S187" s="623"/>
      <c r="T187" s="623"/>
      <c r="U187" s="623"/>
      <c r="V187" s="623"/>
      <c r="W187" s="623"/>
      <c r="X187" s="623"/>
      <c r="Y187" s="623"/>
      <c r="Z187" s="623"/>
      <c r="AA187" s="624"/>
      <c r="AB187"/>
      <c r="AC187" s="622"/>
      <c r="AD187" s="623"/>
      <c r="AE187" s="623"/>
      <c r="AF187" s="623"/>
      <c r="AG187" s="623"/>
      <c r="AH187" s="623"/>
      <c r="AI187" s="623"/>
      <c r="AJ187" s="623"/>
      <c r="AK187" s="623"/>
      <c r="AL187" s="623"/>
      <c r="AM187" s="623"/>
      <c r="AN187" s="623"/>
      <c r="AO187" s="623"/>
      <c r="AP187" s="623"/>
      <c r="AQ187" s="623"/>
      <c r="AR187" s="623"/>
      <c r="AS187" s="623"/>
      <c r="AT187" s="623"/>
      <c r="AU187" s="623"/>
      <c r="AV187" s="623"/>
      <c r="AW187" s="624"/>
      <c r="AY187" s="11"/>
      <c r="BI187" s="12"/>
    </row>
    <row r="188" spans="3:61" ht="11.1" customHeight="1" x14ac:dyDescent="0.25">
      <c r="C188" s="8"/>
      <c r="D188" s="8"/>
      <c r="F188" s="54"/>
      <c r="G188" s="622"/>
      <c r="H188" s="623"/>
      <c r="I188" s="623"/>
      <c r="J188" s="623"/>
      <c r="K188" s="623"/>
      <c r="L188" s="623"/>
      <c r="M188" s="623"/>
      <c r="N188" s="623"/>
      <c r="O188" s="623"/>
      <c r="P188" s="623"/>
      <c r="Q188" s="623"/>
      <c r="R188" s="623"/>
      <c r="S188" s="623"/>
      <c r="T188" s="623"/>
      <c r="U188" s="623"/>
      <c r="V188" s="623"/>
      <c r="W188" s="623"/>
      <c r="X188" s="623"/>
      <c r="Y188" s="623"/>
      <c r="Z188" s="623"/>
      <c r="AA188" s="624"/>
      <c r="AB188"/>
      <c r="AC188" s="622"/>
      <c r="AD188" s="623"/>
      <c r="AE188" s="623"/>
      <c r="AF188" s="623"/>
      <c r="AG188" s="623"/>
      <c r="AH188" s="623"/>
      <c r="AI188" s="623"/>
      <c r="AJ188" s="623"/>
      <c r="AK188" s="623"/>
      <c r="AL188" s="623"/>
      <c r="AM188" s="623"/>
      <c r="AN188" s="623"/>
      <c r="AO188" s="623"/>
      <c r="AP188" s="623"/>
      <c r="AQ188" s="623"/>
      <c r="AR188" s="623"/>
      <c r="AS188" s="623"/>
      <c r="AT188" s="623"/>
      <c r="AU188" s="623"/>
      <c r="AV188" s="623"/>
      <c r="AW188" s="624"/>
      <c r="AY188" s="11"/>
      <c r="BI188" s="12"/>
    </row>
    <row r="189" spans="3:61" ht="11.1" customHeight="1" x14ac:dyDescent="0.25">
      <c r="C189" s="8"/>
      <c r="D189" s="8"/>
      <c r="F189" s="54"/>
      <c r="G189" s="622"/>
      <c r="H189" s="623"/>
      <c r="I189" s="623"/>
      <c r="J189" s="623"/>
      <c r="K189" s="623"/>
      <c r="L189" s="623"/>
      <c r="M189" s="623"/>
      <c r="N189" s="623"/>
      <c r="O189" s="623"/>
      <c r="P189" s="623"/>
      <c r="Q189" s="623"/>
      <c r="R189" s="623"/>
      <c r="S189" s="623"/>
      <c r="T189" s="623"/>
      <c r="U189" s="623"/>
      <c r="V189" s="623"/>
      <c r="W189" s="623"/>
      <c r="X189" s="623"/>
      <c r="Y189" s="623"/>
      <c r="Z189" s="623"/>
      <c r="AA189" s="624"/>
      <c r="AB189"/>
      <c r="AC189" s="622"/>
      <c r="AD189" s="623"/>
      <c r="AE189" s="623"/>
      <c r="AF189" s="623"/>
      <c r="AG189" s="623"/>
      <c r="AH189" s="623"/>
      <c r="AI189" s="623"/>
      <c r="AJ189" s="623"/>
      <c r="AK189" s="623"/>
      <c r="AL189" s="623"/>
      <c r="AM189" s="623"/>
      <c r="AN189" s="623"/>
      <c r="AO189" s="623"/>
      <c r="AP189" s="623"/>
      <c r="AQ189" s="623"/>
      <c r="AR189" s="623"/>
      <c r="AS189" s="623"/>
      <c r="AT189" s="623"/>
      <c r="AU189" s="623"/>
      <c r="AV189" s="623"/>
      <c r="AW189" s="624"/>
      <c r="AY189" s="11"/>
      <c r="BI189" s="12"/>
    </row>
    <row r="190" spans="3:61" ht="11.1" customHeight="1" x14ac:dyDescent="0.25">
      <c r="C190" s="8"/>
      <c r="D190" s="8"/>
      <c r="F190" s="54"/>
      <c r="G190" s="625" t="s">
        <v>270</v>
      </c>
      <c r="H190" s="626"/>
      <c r="I190" s="626"/>
      <c r="J190" s="626"/>
      <c r="K190" s="626"/>
      <c r="L190" s="626"/>
      <c r="M190" s="626"/>
      <c r="N190" s="626"/>
      <c r="O190" s="626"/>
      <c r="P190" s="626"/>
      <c r="Q190" s="626"/>
      <c r="R190" s="626"/>
      <c r="S190" s="626"/>
      <c r="T190" s="626"/>
      <c r="U190" s="626"/>
      <c r="V190" s="626"/>
      <c r="W190" s="626"/>
      <c r="X190" s="626"/>
      <c r="Y190" s="626"/>
      <c r="Z190" s="626"/>
      <c r="AA190" s="627"/>
      <c r="AB190"/>
      <c r="AC190" s="625" t="s">
        <v>270</v>
      </c>
      <c r="AD190" s="626"/>
      <c r="AE190" s="626"/>
      <c r="AF190" s="626"/>
      <c r="AG190" s="626"/>
      <c r="AH190" s="626"/>
      <c r="AI190" s="626"/>
      <c r="AJ190" s="626"/>
      <c r="AK190" s="626"/>
      <c r="AL190" s="626"/>
      <c r="AM190" s="626"/>
      <c r="AN190" s="626"/>
      <c r="AO190" s="626"/>
      <c r="AP190" s="626"/>
      <c r="AQ190" s="626"/>
      <c r="AR190" s="626"/>
      <c r="AS190" s="626"/>
      <c r="AT190" s="626"/>
      <c r="AU190" s="626"/>
      <c r="AV190" s="626"/>
      <c r="AW190" s="627"/>
      <c r="AY190" s="11"/>
      <c r="BI190" s="12"/>
    </row>
    <row r="191" spans="3:61" ht="11.1" customHeight="1" x14ac:dyDescent="0.25">
      <c r="C191" s="8"/>
      <c r="D191" s="8"/>
      <c r="F191" s="54"/>
      <c r="G191" s="628"/>
      <c r="H191" s="629"/>
      <c r="I191" s="629"/>
      <c r="J191" s="629"/>
      <c r="K191" s="629"/>
      <c r="L191" s="629"/>
      <c r="M191" s="629"/>
      <c r="N191" s="629"/>
      <c r="O191" s="629"/>
      <c r="P191" s="629"/>
      <c r="Q191" s="629"/>
      <c r="R191" s="629"/>
      <c r="S191" s="629"/>
      <c r="T191" s="629"/>
      <c r="U191" s="629"/>
      <c r="V191" s="629"/>
      <c r="W191" s="629"/>
      <c r="X191" s="629"/>
      <c r="Y191" s="629"/>
      <c r="Z191" s="629"/>
      <c r="AA191" s="630"/>
      <c r="AB191"/>
      <c r="AC191" s="628"/>
      <c r="AD191" s="629"/>
      <c r="AE191" s="629"/>
      <c r="AF191" s="629"/>
      <c r="AG191" s="629"/>
      <c r="AH191" s="629"/>
      <c r="AI191" s="629"/>
      <c r="AJ191" s="629"/>
      <c r="AK191" s="629"/>
      <c r="AL191" s="629"/>
      <c r="AM191" s="629"/>
      <c r="AN191" s="629"/>
      <c r="AO191" s="629"/>
      <c r="AP191" s="629"/>
      <c r="AQ191" s="629"/>
      <c r="AR191" s="629"/>
      <c r="AS191" s="629"/>
      <c r="AT191" s="629"/>
      <c r="AU191" s="629"/>
      <c r="AV191" s="629"/>
      <c r="AW191" s="630"/>
      <c r="AY191" s="11"/>
      <c r="BI191" s="12"/>
    </row>
    <row r="192" spans="3:61" ht="11.1" customHeight="1" x14ac:dyDescent="0.25">
      <c r="C192" s="8"/>
      <c r="D192" s="8"/>
      <c r="F192" s="54"/>
      <c r="G192" s="619"/>
      <c r="H192" s="620"/>
      <c r="I192" s="620"/>
      <c r="J192" s="620"/>
      <c r="K192" s="620"/>
      <c r="L192" s="620"/>
      <c r="M192" s="620"/>
      <c r="N192" s="620"/>
      <c r="O192" s="620"/>
      <c r="P192" s="620"/>
      <c r="Q192" s="620"/>
      <c r="R192" s="620"/>
      <c r="S192" s="620"/>
      <c r="T192" s="620"/>
      <c r="U192" s="620"/>
      <c r="V192" s="620"/>
      <c r="W192" s="620"/>
      <c r="X192" s="620"/>
      <c r="Y192" s="620"/>
      <c r="Z192" s="620"/>
      <c r="AA192" s="621"/>
      <c r="AB192"/>
      <c r="AC192" s="619"/>
      <c r="AD192" s="620"/>
      <c r="AE192" s="620"/>
      <c r="AF192" s="620"/>
      <c r="AG192" s="620"/>
      <c r="AH192" s="620"/>
      <c r="AI192" s="620"/>
      <c r="AJ192" s="620"/>
      <c r="AK192" s="620"/>
      <c r="AL192" s="620"/>
      <c r="AM192" s="620"/>
      <c r="AN192" s="620"/>
      <c r="AO192" s="620"/>
      <c r="AP192" s="620"/>
      <c r="AQ192" s="620"/>
      <c r="AR192" s="620"/>
      <c r="AS192" s="620"/>
      <c r="AT192" s="620"/>
      <c r="AU192" s="620"/>
      <c r="AV192" s="620"/>
      <c r="AW192" s="621"/>
      <c r="AY192" s="11"/>
      <c r="BI192" s="12"/>
    </row>
    <row r="193" spans="3:61" ht="11.1" customHeight="1" x14ac:dyDescent="0.25">
      <c r="C193" s="8"/>
      <c r="D193" s="8"/>
      <c r="F193" s="54"/>
      <c r="G193" s="622"/>
      <c r="H193" s="623"/>
      <c r="I193" s="623"/>
      <c r="J193" s="623"/>
      <c r="K193" s="623"/>
      <c r="L193" s="623"/>
      <c r="M193" s="623"/>
      <c r="N193" s="623"/>
      <c r="O193" s="623"/>
      <c r="P193" s="623"/>
      <c r="Q193" s="623"/>
      <c r="R193" s="623"/>
      <c r="S193" s="623"/>
      <c r="T193" s="623"/>
      <c r="U193" s="623"/>
      <c r="V193" s="623"/>
      <c r="W193" s="623"/>
      <c r="X193" s="623"/>
      <c r="Y193" s="623"/>
      <c r="Z193" s="623"/>
      <c r="AA193" s="624"/>
      <c r="AB193"/>
      <c r="AC193" s="622"/>
      <c r="AD193" s="623"/>
      <c r="AE193" s="623"/>
      <c r="AF193" s="623"/>
      <c r="AG193" s="623"/>
      <c r="AH193" s="623"/>
      <c r="AI193" s="623"/>
      <c r="AJ193" s="623"/>
      <c r="AK193" s="623"/>
      <c r="AL193" s="623"/>
      <c r="AM193" s="623"/>
      <c r="AN193" s="623"/>
      <c r="AO193" s="623"/>
      <c r="AP193" s="623"/>
      <c r="AQ193" s="623"/>
      <c r="AR193" s="623"/>
      <c r="AS193" s="623"/>
      <c r="AT193" s="623"/>
      <c r="AU193" s="623"/>
      <c r="AV193" s="623"/>
      <c r="AW193" s="624"/>
      <c r="AY193" s="11"/>
      <c r="BI193" s="12"/>
    </row>
    <row r="194" spans="3:61" ht="11.1" customHeight="1" x14ac:dyDescent="0.25">
      <c r="C194" s="8"/>
      <c r="D194" s="8"/>
      <c r="F194" s="54"/>
      <c r="G194" s="622"/>
      <c r="H194" s="623"/>
      <c r="I194" s="623"/>
      <c r="J194" s="623"/>
      <c r="K194" s="623"/>
      <c r="L194" s="623"/>
      <c r="M194" s="623"/>
      <c r="N194" s="623"/>
      <c r="O194" s="623"/>
      <c r="P194" s="623"/>
      <c r="Q194" s="623"/>
      <c r="R194" s="623"/>
      <c r="S194" s="623"/>
      <c r="T194" s="623"/>
      <c r="U194" s="623"/>
      <c r="V194" s="623"/>
      <c r="W194" s="623"/>
      <c r="X194" s="623"/>
      <c r="Y194" s="623"/>
      <c r="Z194" s="623"/>
      <c r="AA194" s="624"/>
      <c r="AB194"/>
      <c r="AC194" s="622"/>
      <c r="AD194" s="623"/>
      <c r="AE194" s="623"/>
      <c r="AF194" s="623"/>
      <c r="AG194" s="623"/>
      <c r="AH194" s="623"/>
      <c r="AI194" s="623"/>
      <c r="AJ194" s="623"/>
      <c r="AK194" s="623"/>
      <c r="AL194" s="623"/>
      <c r="AM194" s="623"/>
      <c r="AN194" s="623"/>
      <c r="AO194" s="623"/>
      <c r="AP194" s="623"/>
      <c r="AQ194" s="623"/>
      <c r="AR194" s="623"/>
      <c r="AS194" s="623"/>
      <c r="AT194" s="623"/>
      <c r="AU194" s="623"/>
      <c r="AV194" s="623"/>
      <c r="AW194" s="624"/>
      <c r="AY194" s="11"/>
      <c r="BI194" s="12"/>
    </row>
    <row r="195" spans="3:61" ht="11.1" customHeight="1" x14ac:dyDescent="0.25">
      <c r="C195" s="8"/>
      <c r="D195" s="8"/>
      <c r="F195" s="54"/>
      <c r="G195" s="622"/>
      <c r="H195" s="623"/>
      <c r="I195" s="623"/>
      <c r="J195" s="623"/>
      <c r="K195" s="623"/>
      <c r="L195" s="623"/>
      <c r="M195" s="623"/>
      <c r="N195" s="623"/>
      <c r="O195" s="623"/>
      <c r="P195" s="623"/>
      <c r="Q195" s="623"/>
      <c r="R195" s="623"/>
      <c r="S195" s="623"/>
      <c r="T195" s="623"/>
      <c r="U195" s="623"/>
      <c r="V195" s="623"/>
      <c r="W195" s="623"/>
      <c r="X195" s="623"/>
      <c r="Y195" s="623"/>
      <c r="Z195" s="623"/>
      <c r="AA195" s="624"/>
      <c r="AB195"/>
      <c r="AC195" s="622"/>
      <c r="AD195" s="623"/>
      <c r="AE195" s="623"/>
      <c r="AF195" s="623"/>
      <c r="AG195" s="623"/>
      <c r="AH195" s="623"/>
      <c r="AI195" s="623"/>
      <c r="AJ195" s="623"/>
      <c r="AK195" s="623"/>
      <c r="AL195" s="623"/>
      <c r="AM195" s="623"/>
      <c r="AN195" s="623"/>
      <c r="AO195" s="623"/>
      <c r="AP195" s="623"/>
      <c r="AQ195" s="623"/>
      <c r="AR195" s="623"/>
      <c r="AS195" s="623"/>
      <c r="AT195" s="623"/>
      <c r="AU195" s="623"/>
      <c r="AV195" s="623"/>
      <c r="AW195" s="624"/>
      <c r="AY195" s="11"/>
      <c r="BI195" s="12"/>
    </row>
    <row r="196" spans="3:61" ht="11.1" customHeight="1" x14ac:dyDescent="0.25">
      <c r="C196" s="8"/>
      <c r="D196" s="8"/>
      <c r="F196" s="54"/>
      <c r="G196" s="622"/>
      <c r="H196" s="623"/>
      <c r="I196" s="623"/>
      <c r="J196" s="623"/>
      <c r="K196" s="623"/>
      <c r="L196" s="623"/>
      <c r="M196" s="623"/>
      <c r="N196" s="623"/>
      <c r="O196" s="623"/>
      <c r="P196" s="623"/>
      <c r="Q196" s="623"/>
      <c r="R196" s="623"/>
      <c r="S196" s="623"/>
      <c r="T196" s="623"/>
      <c r="U196" s="623"/>
      <c r="V196" s="623"/>
      <c r="W196" s="623"/>
      <c r="X196" s="623"/>
      <c r="Y196" s="623"/>
      <c r="Z196" s="623"/>
      <c r="AA196" s="624"/>
      <c r="AB196"/>
      <c r="AC196" s="622"/>
      <c r="AD196" s="623"/>
      <c r="AE196" s="623"/>
      <c r="AF196" s="623"/>
      <c r="AG196" s="623"/>
      <c r="AH196" s="623"/>
      <c r="AI196" s="623"/>
      <c r="AJ196" s="623"/>
      <c r="AK196" s="623"/>
      <c r="AL196" s="623"/>
      <c r="AM196" s="623"/>
      <c r="AN196" s="623"/>
      <c r="AO196" s="623"/>
      <c r="AP196" s="623"/>
      <c r="AQ196" s="623"/>
      <c r="AR196" s="623"/>
      <c r="AS196" s="623"/>
      <c r="AT196" s="623"/>
      <c r="AU196" s="623"/>
      <c r="AV196" s="623"/>
      <c r="AW196" s="624"/>
      <c r="AY196" s="11"/>
      <c r="BI196" s="12"/>
    </row>
    <row r="197" spans="3:61" ht="11.1" customHeight="1" x14ac:dyDescent="0.25">
      <c r="C197" s="8"/>
      <c r="D197" s="8"/>
      <c r="F197" s="54"/>
      <c r="G197" s="622"/>
      <c r="H197" s="623"/>
      <c r="I197" s="623"/>
      <c r="J197" s="623"/>
      <c r="K197" s="623"/>
      <c r="L197" s="623"/>
      <c r="M197" s="623"/>
      <c r="N197" s="623"/>
      <c r="O197" s="623"/>
      <c r="P197" s="623"/>
      <c r="Q197" s="623"/>
      <c r="R197" s="623"/>
      <c r="S197" s="623"/>
      <c r="T197" s="623"/>
      <c r="U197" s="623"/>
      <c r="V197" s="623"/>
      <c r="W197" s="623"/>
      <c r="X197" s="623"/>
      <c r="Y197" s="623"/>
      <c r="Z197" s="623"/>
      <c r="AA197" s="624"/>
      <c r="AB197"/>
      <c r="AC197" s="622"/>
      <c r="AD197" s="623"/>
      <c r="AE197" s="623"/>
      <c r="AF197" s="623"/>
      <c r="AG197" s="623"/>
      <c r="AH197" s="623"/>
      <c r="AI197" s="623"/>
      <c r="AJ197" s="623"/>
      <c r="AK197" s="623"/>
      <c r="AL197" s="623"/>
      <c r="AM197" s="623"/>
      <c r="AN197" s="623"/>
      <c r="AO197" s="623"/>
      <c r="AP197" s="623"/>
      <c r="AQ197" s="623"/>
      <c r="AR197" s="623"/>
      <c r="AS197" s="623"/>
      <c r="AT197" s="623"/>
      <c r="AU197" s="623"/>
      <c r="AV197" s="623"/>
      <c r="AW197" s="624"/>
      <c r="AY197" s="11"/>
      <c r="BI197" s="12"/>
    </row>
    <row r="198" spans="3:61" ht="11.1" customHeight="1" x14ac:dyDescent="0.25">
      <c r="C198" s="8"/>
      <c r="D198" s="8"/>
      <c r="F198" s="54"/>
      <c r="G198" s="622"/>
      <c r="H198" s="623"/>
      <c r="I198" s="623"/>
      <c r="J198" s="623"/>
      <c r="K198" s="623"/>
      <c r="L198" s="623"/>
      <c r="M198" s="623"/>
      <c r="N198" s="623"/>
      <c r="O198" s="623"/>
      <c r="P198" s="623"/>
      <c r="Q198" s="623"/>
      <c r="R198" s="623"/>
      <c r="S198" s="623"/>
      <c r="T198" s="623"/>
      <c r="U198" s="623"/>
      <c r="V198" s="623"/>
      <c r="W198" s="623"/>
      <c r="X198" s="623"/>
      <c r="Y198" s="623"/>
      <c r="Z198" s="623"/>
      <c r="AA198" s="624"/>
      <c r="AB198"/>
      <c r="AC198" s="622"/>
      <c r="AD198" s="623"/>
      <c r="AE198" s="623"/>
      <c r="AF198" s="623"/>
      <c r="AG198" s="623"/>
      <c r="AH198" s="623"/>
      <c r="AI198" s="623"/>
      <c r="AJ198" s="623"/>
      <c r="AK198" s="623"/>
      <c r="AL198" s="623"/>
      <c r="AM198" s="623"/>
      <c r="AN198" s="623"/>
      <c r="AO198" s="623"/>
      <c r="AP198" s="623"/>
      <c r="AQ198" s="623"/>
      <c r="AR198" s="623"/>
      <c r="AS198" s="623"/>
      <c r="AT198" s="623"/>
      <c r="AU198" s="623"/>
      <c r="AV198" s="623"/>
      <c r="AW198" s="624"/>
      <c r="AY198" s="11"/>
      <c r="BI198" s="12"/>
    </row>
    <row r="199" spans="3:61" ht="11.1" customHeight="1" x14ac:dyDescent="0.25">
      <c r="C199" s="8"/>
      <c r="D199" s="8"/>
      <c r="F199" s="54"/>
      <c r="G199" s="622"/>
      <c r="H199" s="623"/>
      <c r="I199" s="623"/>
      <c r="J199" s="623"/>
      <c r="K199" s="623"/>
      <c r="L199" s="623"/>
      <c r="M199" s="623"/>
      <c r="N199" s="623"/>
      <c r="O199" s="623"/>
      <c r="P199" s="623"/>
      <c r="Q199" s="623"/>
      <c r="R199" s="623"/>
      <c r="S199" s="623"/>
      <c r="T199" s="623"/>
      <c r="U199" s="623"/>
      <c r="V199" s="623"/>
      <c r="W199" s="623"/>
      <c r="X199" s="623"/>
      <c r="Y199" s="623"/>
      <c r="Z199" s="623"/>
      <c r="AA199" s="624"/>
      <c r="AB199"/>
      <c r="AC199" s="622"/>
      <c r="AD199" s="623"/>
      <c r="AE199" s="623"/>
      <c r="AF199" s="623"/>
      <c r="AG199" s="623"/>
      <c r="AH199" s="623"/>
      <c r="AI199" s="623"/>
      <c r="AJ199" s="623"/>
      <c r="AK199" s="623"/>
      <c r="AL199" s="623"/>
      <c r="AM199" s="623"/>
      <c r="AN199" s="623"/>
      <c r="AO199" s="623"/>
      <c r="AP199" s="623"/>
      <c r="AQ199" s="623"/>
      <c r="AR199" s="623"/>
      <c r="AS199" s="623"/>
      <c r="AT199" s="623"/>
      <c r="AU199" s="623"/>
      <c r="AV199" s="623"/>
      <c r="AW199" s="624"/>
      <c r="AY199" s="11"/>
      <c r="BI199" s="12"/>
    </row>
    <row r="200" spans="3:61" ht="11.1" customHeight="1" x14ac:dyDescent="0.25">
      <c r="C200" s="8"/>
      <c r="D200" s="8"/>
      <c r="F200" s="54"/>
      <c r="G200" s="622"/>
      <c r="H200" s="623"/>
      <c r="I200" s="623"/>
      <c r="J200" s="623"/>
      <c r="K200" s="623"/>
      <c r="L200" s="623"/>
      <c r="M200" s="623"/>
      <c r="N200" s="623"/>
      <c r="O200" s="623"/>
      <c r="P200" s="623"/>
      <c r="Q200" s="623"/>
      <c r="R200" s="623"/>
      <c r="S200" s="623"/>
      <c r="T200" s="623"/>
      <c r="U200" s="623"/>
      <c r="V200" s="623"/>
      <c r="W200" s="623"/>
      <c r="X200" s="623"/>
      <c r="Y200" s="623"/>
      <c r="Z200" s="623"/>
      <c r="AA200" s="624"/>
      <c r="AB200"/>
      <c r="AC200" s="622"/>
      <c r="AD200" s="623"/>
      <c r="AE200" s="623"/>
      <c r="AF200" s="623"/>
      <c r="AG200" s="623"/>
      <c r="AH200" s="623"/>
      <c r="AI200" s="623"/>
      <c r="AJ200" s="623"/>
      <c r="AK200" s="623"/>
      <c r="AL200" s="623"/>
      <c r="AM200" s="623"/>
      <c r="AN200" s="623"/>
      <c r="AO200" s="623"/>
      <c r="AP200" s="623"/>
      <c r="AQ200" s="623"/>
      <c r="AR200" s="623"/>
      <c r="AS200" s="623"/>
      <c r="AT200" s="623"/>
      <c r="AU200" s="623"/>
      <c r="AV200" s="623"/>
      <c r="AW200" s="624"/>
      <c r="AY200" s="11"/>
      <c r="BI200" s="12"/>
    </row>
    <row r="201" spans="3:61" ht="11.1" customHeight="1" x14ac:dyDescent="0.25">
      <c r="C201" s="8"/>
      <c r="D201" s="8"/>
      <c r="F201" s="54"/>
      <c r="G201" s="622"/>
      <c r="H201" s="623"/>
      <c r="I201" s="623"/>
      <c r="J201" s="623"/>
      <c r="K201" s="623"/>
      <c r="L201" s="623"/>
      <c r="M201" s="623"/>
      <c r="N201" s="623"/>
      <c r="O201" s="623"/>
      <c r="P201" s="623"/>
      <c r="Q201" s="623"/>
      <c r="R201" s="623"/>
      <c r="S201" s="623"/>
      <c r="T201" s="623"/>
      <c r="U201" s="623"/>
      <c r="V201" s="623"/>
      <c r="W201" s="623"/>
      <c r="X201" s="623"/>
      <c r="Y201" s="623"/>
      <c r="Z201" s="623"/>
      <c r="AA201" s="624"/>
      <c r="AB201"/>
      <c r="AC201" s="622"/>
      <c r="AD201" s="623"/>
      <c r="AE201" s="623"/>
      <c r="AF201" s="623"/>
      <c r="AG201" s="623"/>
      <c r="AH201" s="623"/>
      <c r="AI201" s="623"/>
      <c r="AJ201" s="623"/>
      <c r="AK201" s="623"/>
      <c r="AL201" s="623"/>
      <c r="AM201" s="623"/>
      <c r="AN201" s="623"/>
      <c r="AO201" s="623"/>
      <c r="AP201" s="623"/>
      <c r="AQ201" s="623"/>
      <c r="AR201" s="623"/>
      <c r="AS201" s="623"/>
      <c r="AT201" s="623"/>
      <c r="AU201" s="623"/>
      <c r="AV201" s="623"/>
      <c r="AW201" s="624"/>
      <c r="AY201" s="11"/>
      <c r="BI201" s="12"/>
    </row>
    <row r="202" spans="3:61" ht="11.1" customHeight="1" x14ac:dyDescent="0.25">
      <c r="C202" s="8"/>
      <c r="D202" s="8"/>
      <c r="F202" s="54"/>
      <c r="G202" s="622"/>
      <c r="H202" s="623"/>
      <c r="I202" s="623"/>
      <c r="J202" s="623"/>
      <c r="K202" s="623"/>
      <c r="L202" s="623"/>
      <c r="M202" s="623"/>
      <c r="N202" s="623"/>
      <c r="O202" s="623"/>
      <c r="P202" s="623"/>
      <c r="Q202" s="623"/>
      <c r="R202" s="623"/>
      <c r="S202" s="623"/>
      <c r="T202" s="623"/>
      <c r="U202" s="623"/>
      <c r="V202" s="623"/>
      <c r="W202" s="623"/>
      <c r="X202" s="623"/>
      <c r="Y202" s="623"/>
      <c r="Z202" s="623"/>
      <c r="AA202" s="624"/>
      <c r="AB202"/>
      <c r="AC202" s="622"/>
      <c r="AD202" s="623"/>
      <c r="AE202" s="623"/>
      <c r="AF202" s="623"/>
      <c r="AG202" s="623"/>
      <c r="AH202" s="623"/>
      <c r="AI202" s="623"/>
      <c r="AJ202" s="623"/>
      <c r="AK202" s="623"/>
      <c r="AL202" s="623"/>
      <c r="AM202" s="623"/>
      <c r="AN202" s="623"/>
      <c r="AO202" s="623"/>
      <c r="AP202" s="623"/>
      <c r="AQ202" s="623"/>
      <c r="AR202" s="623"/>
      <c r="AS202" s="623"/>
      <c r="AT202" s="623"/>
      <c r="AU202" s="623"/>
      <c r="AV202" s="623"/>
      <c r="AW202" s="624"/>
      <c r="AY202" s="11"/>
      <c r="BI202" s="12"/>
    </row>
    <row r="203" spans="3:61" ht="11.1" customHeight="1" x14ac:dyDescent="0.25">
      <c r="C203" s="8"/>
      <c r="D203" s="8"/>
      <c r="F203" s="54"/>
      <c r="G203" s="622"/>
      <c r="H203" s="623"/>
      <c r="I203" s="623"/>
      <c r="J203" s="623"/>
      <c r="K203" s="623"/>
      <c r="L203" s="623"/>
      <c r="M203" s="623"/>
      <c r="N203" s="623"/>
      <c r="O203" s="623"/>
      <c r="P203" s="623"/>
      <c r="Q203" s="623"/>
      <c r="R203" s="623"/>
      <c r="S203" s="623"/>
      <c r="T203" s="623"/>
      <c r="U203" s="623"/>
      <c r="V203" s="623"/>
      <c r="W203" s="623"/>
      <c r="X203" s="623"/>
      <c r="Y203" s="623"/>
      <c r="Z203" s="623"/>
      <c r="AA203" s="624"/>
      <c r="AB203"/>
      <c r="AC203" s="622"/>
      <c r="AD203" s="623"/>
      <c r="AE203" s="623"/>
      <c r="AF203" s="623"/>
      <c r="AG203" s="623"/>
      <c r="AH203" s="623"/>
      <c r="AI203" s="623"/>
      <c r="AJ203" s="623"/>
      <c r="AK203" s="623"/>
      <c r="AL203" s="623"/>
      <c r="AM203" s="623"/>
      <c r="AN203" s="623"/>
      <c r="AO203" s="623"/>
      <c r="AP203" s="623"/>
      <c r="AQ203" s="623"/>
      <c r="AR203" s="623"/>
      <c r="AS203" s="623"/>
      <c r="AT203" s="623"/>
      <c r="AU203" s="623"/>
      <c r="AV203" s="623"/>
      <c r="AW203" s="624"/>
      <c r="AY203" s="11"/>
      <c r="BI203" s="12"/>
    </row>
    <row r="204" spans="3:61" ht="11.1" customHeight="1" x14ac:dyDescent="0.25">
      <c r="C204" s="8"/>
      <c r="D204" s="8"/>
      <c r="F204" s="54"/>
      <c r="G204" s="622"/>
      <c r="H204" s="623"/>
      <c r="I204" s="623"/>
      <c r="J204" s="623"/>
      <c r="K204" s="623"/>
      <c r="L204" s="623"/>
      <c r="M204" s="623"/>
      <c r="N204" s="623"/>
      <c r="O204" s="623"/>
      <c r="P204" s="623"/>
      <c r="Q204" s="623"/>
      <c r="R204" s="623"/>
      <c r="S204" s="623"/>
      <c r="T204" s="623"/>
      <c r="U204" s="623"/>
      <c r="V204" s="623"/>
      <c r="W204" s="623"/>
      <c r="X204" s="623"/>
      <c r="Y204" s="623"/>
      <c r="Z204" s="623"/>
      <c r="AA204" s="624"/>
      <c r="AB204"/>
      <c r="AC204" s="622"/>
      <c r="AD204" s="623"/>
      <c r="AE204" s="623"/>
      <c r="AF204" s="623"/>
      <c r="AG204" s="623"/>
      <c r="AH204" s="623"/>
      <c r="AI204" s="623"/>
      <c r="AJ204" s="623"/>
      <c r="AK204" s="623"/>
      <c r="AL204" s="623"/>
      <c r="AM204" s="623"/>
      <c r="AN204" s="623"/>
      <c r="AO204" s="623"/>
      <c r="AP204" s="623"/>
      <c r="AQ204" s="623"/>
      <c r="AR204" s="623"/>
      <c r="AS204" s="623"/>
      <c r="AT204" s="623"/>
      <c r="AU204" s="623"/>
      <c r="AV204" s="623"/>
      <c r="AW204" s="624"/>
      <c r="AY204" s="11"/>
      <c r="BI204" s="12"/>
    </row>
    <row r="205" spans="3:61" ht="11.1" customHeight="1" x14ac:dyDescent="0.25">
      <c r="C205" s="8"/>
      <c r="D205" s="8"/>
      <c r="F205" s="54"/>
      <c r="G205" s="622"/>
      <c r="H205" s="623"/>
      <c r="I205" s="623"/>
      <c r="J205" s="623"/>
      <c r="K205" s="623"/>
      <c r="L205" s="623"/>
      <c r="M205" s="623"/>
      <c r="N205" s="623"/>
      <c r="O205" s="623"/>
      <c r="P205" s="623"/>
      <c r="Q205" s="623"/>
      <c r="R205" s="623"/>
      <c r="S205" s="623"/>
      <c r="T205" s="623"/>
      <c r="U205" s="623"/>
      <c r="V205" s="623"/>
      <c r="W205" s="623"/>
      <c r="X205" s="623"/>
      <c r="Y205" s="623"/>
      <c r="Z205" s="623"/>
      <c r="AA205" s="624"/>
      <c r="AB205"/>
      <c r="AC205" s="622"/>
      <c r="AD205" s="623"/>
      <c r="AE205" s="623"/>
      <c r="AF205" s="623"/>
      <c r="AG205" s="623"/>
      <c r="AH205" s="623"/>
      <c r="AI205" s="623"/>
      <c r="AJ205" s="623"/>
      <c r="AK205" s="623"/>
      <c r="AL205" s="623"/>
      <c r="AM205" s="623"/>
      <c r="AN205" s="623"/>
      <c r="AO205" s="623"/>
      <c r="AP205" s="623"/>
      <c r="AQ205" s="623"/>
      <c r="AR205" s="623"/>
      <c r="AS205" s="623"/>
      <c r="AT205" s="623"/>
      <c r="AU205" s="623"/>
      <c r="AV205" s="623"/>
      <c r="AW205" s="624"/>
      <c r="AY205" s="11"/>
      <c r="BI205" s="12"/>
    </row>
    <row r="206" spans="3:61" ht="11.1" customHeight="1" x14ac:dyDescent="0.25">
      <c r="C206" s="8"/>
      <c r="D206" s="8"/>
      <c r="F206" s="54"/>
      <c r="G206" s="625" t="s">
        <v>270</v>
      </c>
      <c r="H206" s="626"/>
      <c r="I206" s="626"/>
      <c r="J206" s="626"/>
      <c r="K206" s="626"/>
      <c r="L206" s="626"/>
      <c r="M206" s="626"/>
      <c r="N206" s="626"/>
      <c r="O206" s="626"/>
      <c r="P206" s="626"/>
      <c r="Q206" s="626"/>
      <c r="R206" s="626"/>
      <c r="S206" s="626"/>
      <c r="T206" s="626"/>
      <c r="U206" s="626"/>
      <c r="V206" s="626"/>
      <c r="W206" s="626"/>
      <c r="X206" s="626"/>
      <c r="Y206" s="626"/>
      <c r="Z206" s="626"/>
      <c r="AA206" s="627"/>
      <c r="AB206"/>
      <c r="AC206" s="625" t="s">
        <v>270</v>
      </c>
      <c r="AD206" s="626"/>
      <c r="AE206" s="626"/>
      <c r="AF206" s="626"/>
      <c r="AG206" s="626"/>
      <c r="AH206" s="626"/>
      <c r="AI206" s="626"/>
      <c r="AJ206" s="626"/>
      <c r="AK206" s="626"/>
      <c r="AL206" s="626"/>
      <c r="AM206" s="626"/>
      <c r="AN206" s="626"/>
      <c r="AO206" s="626"/>
      <c r="AP206" s="626"/>
      <c r="AQ206" s="626"/>
      <c r="AR206" s="626"/>
      <c r="AS206" s="626"/>
      <c r="AT206" s="626"/>
      <c r="AU206" s="626"/>
      <c r="AV206" s="626"/>
      <c r="AW206" s="627"/>
      <c r="AY206" s="11"/>
      <c r="BI206" s="12"/>
    </row>
    <row r="207" spans="3:61" ht="11.1" customHeight="1" x14ac:dyDescent="0.25">
      <c r="C207" s="8"/>
      <c r="D207" s="8"/>
      <c r="F207" s="54"/>
      <c r="G207" s="628"/>
      <c r="H207" s="629"/>
      <c r="I207" s="629"/>
      <c r="J207" s="629"/>
      <c r="K207" s="629"/>
      <c r="L207" s="629"/>
      <c r="M207" s="629"/>
      <c r="N207" s="629"/>
      <c r="O207" s="629"/>
      <c r="P207" s="629"/>
      <c r="Q207" s="629"/>
      <c r="R207" s="629"/>
      <c r="S207" s="629"/>
      <c r="T207" s="629"/>
      <c r="U207" s="629"/>
      <c r="V207" s="629"/>
      <c r="W207" s="629"/>
      <c r="X207" s="629"/>
      <c r="Y207" s="629"/>
      <c r="Z207" s="629"/>
      <c r="AA207" s="630"/>
      <c r="AB207"/>
      <c r="AC207" s="628"/>
      <c r="AD207" s="629"/>
      <c r="AE207" s="629"/>
      <c r="AF207" s="629"/>
      <c r="AG207" s="629"/>
      <c r="AH207" s="629"/>
      <c r="AI207" s="629"/>
      <c r="AJ207" s="629"/>
      <c r="AK207" s="629"/>
      <c r="AL207" s="629"/>
      <c r="AM207" s="629"/>
      <c r="AN207" s="629"/>
      <c r="AO207" s="629"/>
      <c r="AP207" s="629"/>
      <c r="AQ207" s="629"/>
      <c r="AR207" s="629"/>
      <c r="AS207" s="629"/>
      <c r="AT207" s="629"/>
      <c r="AU207" s="629"/>
      <c r="AV207" s="629"/>
      <c r="AW207" s="630"/>
      <c r="AY207" s="11"/>
      <c r="BI207" s="12"/>
    </row>
    <row r="208" spans="3:61" ht="3.9" customHeight="1" x14ac:dyDescent="0.25">
      <c r="C208" s="8"/>
      <c r="D208" s="8"/>
      <c r="E208" s="9" t="s">
        <v>9</v>
      </c>
      <c r="G208" s="22"/>
      <c r="H208" s="22"/>
      <c r="I208" s="22"/>
      <c r="J208" s="22"/>
      <c r="K208" s="22"/>
      <c r="L208" s="22"/>
      <c r="M208" s="22"/>
      <c r="N208" s="22"/>
      <c r="O208" s="22"/>
      <c r="P208" s="22"/>
      <c r="Q208" s="22"/>
      <c r="R208" s="22"/>
      <c r="S208" s="22"/>
      <c r="T208" s="22"/>
      <c r="U208" s="22"/>
      <c r="V208" s="22"/>
      <c r="W208" s="22"/>
      <c r="X208" s="22"/>
      <c r="Y208" s="22"/>
      <c r="Z208" s="22"/>
      <c r="AA208" s="22"/>
      <c r="AB208" s="22"/>
      <c r="AC208" s="22"/>
      <c r="AD208" s="22"/>
      <c r="AE208" s="22"/>
      <c r="AF208" s="22"/>
      <c r="AG208" s="22"/>
      <c r="AH208" s="22"/>
      <c r="AI208" s="22"/>
      <c r="AJ208" s="44"/>
      <c r="AY208" s="11"/>
      <c r="BI208" s="12"/>
    </row>
    <row r="209" spans="1:63" ht="11.1" customHeight="1" x14ac:dyDescent="0.25">
      <c r="C209" s="8"/>
      <c r="D209" s="8"/>
      <c r="F209" s="54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Y209" s="11"/>
      <c r="BI209" s="12"/>
    </row>
    <row r="210" spans="1:63" ht="11.1" customHeight="1" x14ac:dyDescent="0.25">
      <c r="C210" s="8"/>
      <c r="D210" s="8"/>
      <c r="F210" s="54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Y210" s="11"/>
      <c r="BI210" s="12"/>
    </row>
    <row r="211" spans="1:63" ht="11.1" customHeight="1" x14ac:dyDescent="0.25">
      <c r="C211" s="8"/>
      <c r="D211" s="8"/>
      <c r="F211" s="54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Y211" s="11"/>
      <c r="BI211" s="12"/>
    </row>
    <row r="212" spans="1:63" ht="11.1" customHeight="1" x14ac:dyDescent="0.25">
      <c r="F212" s="54"/>
    </row>
    <row r="213" spans="1:63" ht="11.1" customHeight="1" x14ac:dyDescent="0.25">
      <c r="C213" s="8"/>
      <c r="D213" s="8"/>
      <c r="BB213" s="11"/>
      <c r="BC213" s="11"/>
      <c r="BD213" s="11"/>
      <c r="BE213" s="11"/>
      <c r="BF213" s="12"/>
      <c r="BG213" s="12"/>
      <c r="BH213" s="12"/>
      <c r="BI213" s="12"/>
    </row>
    <row r="214" spans="1:63" ht="11.1" customHeight="1" x14ac:dyDescent="0.25">
      <c r="C214" s="8"/>
      <c r="D214"/>
      <c r="E214"/>
      <c r="H214" s="594"/>
      <c r="I214" s="594"/>
      <c r="J214" s="594"/>
      <c r="K214" s="594"/>
      <c r="L214" s="594"/>
      <c r="M214" s="594"/>
      <c r="N214" s="594"/>
      <c r="O214" s="594"/>
      <c r="P214" s="594"/>
      <c r="Q214" s="594"/>
      <c r="R214" s="594"/>
      <c r="S214" s="594"/>
      <c r="T214" s="594"/>
      <c r="U214" s="594"/>
      <c r="V214" s="594"/>
      <c r="W214" s="594"/>
      <c r="X214" s="594"/>
      <c r="Y214" s="594"/>
      <c r="Z214" s="594"/>
      <c r="AD214" s="57" t="s">
        <v>66</v>
      </c>
      <c r="AE214" s="283" t="s">
        <v>208</v>
      </c>
      <c r="AF214" s="284"/>
      <c r="AG214" s="284"/>
      <c r="AH214" s="284"/>
      <c r="AI214" s="284"/>
      <c r="AJ214" s="284"/>
      <c r="AK214" s="284"/>
      <c r="AL214" s="284"/>
      <c r="AM214" s="284"/>
      <c r="AN214" s="284"/>
      <c r="AO214" s="284"/>
      <c r="AP214" s="284"/>
      <c r="AQ214" s="284"/>
      <c r="AR214" s="284"/>
      <c r="AS214" s="284"/>
      <c r="AT214" s="284"/>
      <c r="AU214" s="284"/>
      <c r="AV214" s="284"/>
      <c r="AZ214" s="12"/>
    </row>
    <row r="215" spans="1:63" ht="11.1" customHeight="1" x14ac:dyDescent="0.25">
      <c r="C215" s="8"/>
      <c r="D215"/>
      <c r="E215"/>
      <c r="H215" s="58" t="s">
        <v>18</v>
      </c>
      <c r="I215" s="650" t="s">
        <v>19</v>
      </c>
      <c r="J215" s="651"/>
      <c r="K215" s="651"/>
      <c r="L215" s="651"/>
      <c r="M215" s="651"/>
      <c r="N215" s="651"/>
      <c r="O215" s="651"/>
      <c r="P215" s="651"/>
      <c r="Q215" s="651"/>
      <c r="R215" s="651"/>
      <c r="S215" s="651"/>
      <c r="T215" s="651"/>
      <c r="U215" s="651"/>
      <c r="V215" s="651"/>
      <c r="W215" s="651"/>
      <c r="X215" s="651"/>
      <c r="Y215" s="651"/>
      <c r="Z215" s="651"/>
      <c r="AD215" s="9" t="s">
        <v>20</v>
      </c>
      <c r="AE215" s="594">
        <f>S_Ini</f>
        <v>0</v>
      </c>
      <c r="AF215" s="594"/>
      <c r="AG215" s="594"/>
      <c r="AH215" s="594"/>
      <c r="AI215" s="594"/>
      <c r="AJ215" s="594"/>
      <c r="AK215" s="594"/>
      <c r="AL215" s="594"/>
      <c r="AM215" s="594"/>
      <c r="AN215" s="594"/>
      <c r="AO215" s="594"/>
      <c r="AP215" s="594"/>
      <c r="AQ215" s="594"/>
      <c r="AR215" s="594"/>
      <c r="AS215" s="594"/>
      <c r="AT215" s="594"/>
      <c r="AU215" s="594"/>
      <c r="AV215" s="594"/>
      <c r="BA215" s="11"/>
    </row>
    <row r="216" spans="1:63" ht="11.1" customHeight="1" x14ac:dyDescent="0.25">
      <c r="C216" s="8"/>
      <c r="D216"/>
      <c r="E216"/>
      <c r="AD216" s="9" t="s">
        <v>21</v>
      </c>
      <c r="AE216" s="631">
        <f>AK59</f>
        <v>0</v>
      </c>
      <c r="AF216" s="631"/>
      <c r="AG216" s="631"/>
      <c r="AH216" s="631"/>
      <c r="AI216" s="631"/>
      <c r="AJ216" s="631"/>
      <c r="AK216" s="198"/>
      <c r="AL216" s="198"/>
      <c r="AM216" s="198"/>
      <c r="AN216" s="198"/>
      <c r="AO216" s="198"/>
      <c r="AP216" s="198"/>
      <c r="AQ216" s="198"/>
      <c r="AR216" s="198"/>
      <c r="AS216" s="198"/>
      <c r="AT216" s="198"/>
      <c r="AU216" s="198"/>
      <c r="AV216" s="198"/>
    </row>
    <row r="217" spans="1:63" ht="11.1" customHeight="1" x14ac:dyDescent="0.25">
      <c r="C217" s="8"/>
      <c r="D217"/>
      <c r="E217"/>
      <c r="G217" s="632" t="s">
        <v>462</v>
      </c>
      <c r="H217" s="633"/>
      <c r="I217" s="633"/>
      <c r="J217" s="633"/>
      <c r="K217" s="633"/>
      <c r="L217" s="633"/>
      <c r="M217" s="633"/>
      <c r="N217" s="633"/>
      <c r="O217" s="633"/>
      <c r="P217" s="633"/>
      <c r="Q217" s="633"/>
      <c r="R217" s="633"/>
      <c r="S217" s="633"/>
      <c r="T217" s="633"/>
      <c r="U217" s="633"/>
      <c r="V217" s="633"/>
      <c r="W217" s="633"/>
      <c r="X217" s="633"/>
      <c r="Y217" s="633"/>
      <c r="Z217" s="633"/>
      <c r="AA217" s="634"/>
    </row>
    <row r="218" spans="1:63" ht="12" customHeight="1" x14ac:dyDescent="0.25">
      <c r="C218" s="8"/>
      <c r="D218"/>
      <c r="E218"/>
      <c r="G218" s="635"/>
      <c r="H218" s="636"/>
      <c r="I218" s="636"/>
      <c r="J218" s="636"/>
      <c r="K218" s="636"/>
      <c r="L218" s="636"/>
      <c r="M218" s="636"/>
      <c r="N218" s="636"/>
      <c r="O218" s="636"/>
      <c r="P218" s="636"/>
      <c r="Q218" s="636"/>
      <c r="R218" s="636"/>
      <c r="S218" s="636"/>
      <c r="T218" s="636"/>
      <c r="U218" s="636"/>
      <c r="V218" s="636"/>
      <c r="W218" s="636"/>
      <c r="X218" s="636"/>
      <c r="Y218" s="636"/>
      <c r="Z218" s="636"/>
      <c r="AA218" s="637"/>
    </row>
    <row r="219" spans="1:63" ht="12" customHeight="1" x14ac:dyDescent="0.25">
      <c r="C219" s="8"/>
      <c r="D219"/>
      <c r="E219"/>
      <c r="G219" s="635"/>
      <c r="H219" s="636"/>
      <c r="I219" s="636"/>
      <c r="J219" s="636"/>
      <c r="K219" s="636"/>
      <c r="L219" s="636"/>
      <c r="M219" s="636"/>
      <c r="N219" s="636"/>
      <c r="O219" s="636"/>
      <c r="P219" s="636"/>
      <c r="Q219" s="636"/>
      <c r="R219" s="636"/>
      <c r="S219" s="636"/>
      <c r="T219" s="636"/>
      <c r="U219" s="636"/>
      <c r="V219" s="636"/>
      <c r="W219" s="636"/>
      <c r="X219" s="636"/>
      <c r="Y219" s="636"/>
      <c r="Z219" s="636"/>
      <c r="AA219" s="637"/>
      <c r="AD219" s="57" t="s">
        <v>22</v>
      </c>
      <c r="AE219" s="641" t="s">
        <v>485</v>
      </c>
      <c r="AF219" s="641"/>
      <c r="AG219" s="641"/>
      <c r="AH219" s="641"/>
      <c r="AI219" s="641"/>
      <c r="AJ219" s="641"/>
      <c r="AK219" s="641"/>
      <c r="AL219" s="641"/>
      <c r="AM219" s="641"/>
      <c r="AN219" s="641"/>
      <c r="AO219" s="641"/>
      <c r="AP219" s="641"/>
      <c r="AQ219" s="641"/>
      <c r="AR219" s="641"/>
      <c r="AS219" s="641"/>
      <c r="AT219" s="641"/>
      <c r="AU219" s="641"/>
      <c r="AV219" s="283"/>
    </row>
    <row r="220" spans="1:63" ht="12" customHeight="1" x14ac:dyDescent="0.25">
      <c r="C220" s="8"/>
      <c r="D220"/>
      <c r="E220"/>
      <c r="G220" s="635"/>
      <c r="H220" s="636"/>
      <c r="I220" s="636"/>
      <c r="J220" s="636"/>
      <c r="K220" s="636"/>
      <c r="L220" s="636"/>
      <c r="M220" s="636"/>
      <c r="N220" s="636"/>
      <c r="O220" s="636"/>
      <c r="P220" s="636"/>
      <c r="Q220" s="636"/>
      <c r="R220" s="636"/>
      <c r="S220" s="636"/>
      <c r="T220" s="636"/>
      <c r="U220" s="636"/>
      <c r="V220" s="636"/>
      <c r="W220" s="636"/>
      <c r="X220" s="636"/>
      <c r="Y220" s="636"/>
      <c r="Z220" s="636"/>
      <c r="AA220" s="637"/>
      <c r="AD220" s="9" t="s">
        <v>20</v>
      </c>
      <c r="AE220" s="594">
        <f>G65</f>
        <v>0</v>
      </c>
      <c r="AF220" s="594"/>
      <c r="AG220" s="594"/>
      <c r="AH220" s="594"/>
      <c r="AI220" s="594"/>
      <c r="AJ220" s="594"/>
      <c r="AK220" s="594"/>
      <c r="AL220" s="594"/>
      <c r="AM220" s="594"/>
      <c r="AN220" s="594"/>
      <c r="AO220" s="594"/>
      <c r="AP220" s="594"/>
      <c r="AQ220" s="594"/>
      <c r="AR220" s="594"/>
      <c r="AS220" s="594"/>
      <c r="AT220" s="594"/>
      <c r="AU220" s="594"/>
      <c r="AV220" s="594"/>
    </row>
    <row r="221" spans="1:63" ht="12" customHeight="1" x14ac:dyDescent="0.25">
      <c r="C221" s="8"/>
      <c r="D221"/>
      <c r="E221"/>
      <c r="G221" s="638"/>
      <c r="H221" s="639"/>
      <c r="I221" s="639"/>
      <c r="J221" s="639"/>
      <c r="K221" s="639"/>
      <c r="L221" s="639"/>
      <c r="M221" s="639"/>
      <c r="N221" s="639"/>
      <c r="O221" s="639"/>
      <c r="P221" s="639"/>
      <c r="Q221" s="639"/>
      <c r="R221" s="639"/>
      <c r="S221" s="639"/>
      <c r="T221" s="639"/>
      <c r="U221" s="639"/>
      <c r="V221" s="639"/>
      <c r="W221" s="639"/>
      <c r="X221" s="639"/>
      <c r="Y221" s="639"/>
      <c r="Z221" s="639"/>
      <c r="AA221" s="640"/>
      <c r="AD221" s="9" t="s">
        <v>21</v>
      </c>
      <c r="AE221" s="631">
        <f>AK65</f>
        <v>0</v>
      </c>
      <c r="AF221" s="631"/>
      <c r="AG221" s="631"/>
      <c r="AH221" s="631"/>
      <c r="AI221" s="631"/>
      <c r="AJ221" s="631"/>
      <c r="AK221"/>
      <c r="AL221"/>
      <c r="AM221"/>
      <c r="AO221" s="115" t="s">
        <v>291</v>
      </c>
      <c r="AP221" s="642" t="str">
        <f>AB65&amp;"/"&amp;AI65</f>
        <v>0/0</v>
      </c>
      <c r="AQ221" s="642"/>
      <c r="AR221" s="642"/>
      <c r="AS221" s="642"/>
      <c r="AT221" s="642"/>
      <c r="AU221" s="642"/>
      <c r="AV221" s="642"/>
    </row>
    <row r="222" spans="1:63" s="42" customFormat="1" ht="3.9" customHeight="1" x14ac:dyDescent="0.25">
      <c r="A222" s="8"/>
      <c r="B222" s="8"/>
      <c r="C222" s="8"/>
      <c r="D222"/>
      <c r="E222" s="9" t="s">
        <v>9</v>
      </c>
      <c r="F222" s="12"/>
      <c r="G222" s="12"/>
      <c r="H222" s="12"/>
      <c r="I222" s="12"/>
      <c r="J222" s="12"/>
      <c r="K222" s="12"/>
      <c r="L222" s="12"/>
      <c r="M222" s="12"/>
      <c r="N222" s="12"/>
      <c r="O222" s="12"/>
      <c r="P222" s="12"/>
      <c r="Q222" s="12"/>
      <c r="R222" s="12"/>
      <c r="S222" s="12"/>
      <c r="T222" s="12"/>
      <c r="U222" s="12"/>
      <c r="V222" s="12"/>
      <c r="W222" s="12"/>
      <c r="X222" s="12"/>
      <c r="Y222" s="12"/>
      <c r="Z222" s="12"/>
      <c r="AA222" s="12"/>
      <c r="AB222" s="12"/>
      <c r="AC222" s="12"/>
      <c r="AD222" s="12"/>
      <c r="AE222" s="12"/>
      <c r="AF222" s="12"/>
      <c r="AG222" s="12"/>
      <c r="AH222" s="12"/>
      <c r="AI222" s="12"/>
      <c r="AJ222" s="12"/>
      <c r="AK222" s="12"/>
      <c r="AL222" s="12"/>
      <c r="AM222" s="12"/>
      <c r="AN222" s="12"/>
      <c r="AX222" s="59"/>
      <c r="AZ222" s="11"/>
      <c r="BA222"/>
      <c r="BB222" s="11"/>
      <c r="BC222" s="11"/>
      <c r="BD222" s="11"/>
      <c r="BE222" s="11"/>
      <c r="BF222" s="11"/>
      <c r="BG222" s="11"/>
      <c r="BH222" s="11"/>
      <c r="BI222" s="11"/>
      <c r="BK222" s="12"/>
    </row>
    <row r="223" spans="1:63" ht="12" customHeight="1" x14ac:dyDescent="0.25">
      <c r="C223" s="8"/>
      <c r="D223"/>
      <c r="E223"/>
      <c r="BB223" s="11"/>
      <c r="BC223" s="11"/>
      <c r="BD223" s="11"/>
      <c r="BE223" s="11"/>
      <c r="BF223" s="11"/>
      <c r="BG223" s="11"/>
      <c r="BH223" s="11"/>
      <c r="BI223" s="11"/>
    </row>
    <row r="224" spans="1:63" ht="12" customHeight="1" x14ac:dyDescent="0.25">
      <c r="C224" s="8"/>
      <c r="D224"/>
      <c r="E224"/>
      <c r="AD224"/>
      <c r="BA224" s="11"/>
      <c r="BK224" s="42"/>
    </row>
    <row r="225" spans="1:63" ht="12" customHeight="1" x14ac:dyDescent="0.25">
      <c r="C225" s="8"/>
      <c r="D225"/>
      <c r="E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BA225" s="11"/>
    </row>
    <row r="226" spans="1:63" ht="6" customHeight="1" x14ac:dyDescent="0.25">
      <c r="C226" s="8"/>
      <c r="D226"/>
      <c r="E226"/>
      <c r="G226" s="54"/>
      <c r="BB226" s="11"/>
      <c r="BC226" s="11"/>
      <c r="BD226" s="11"/>
      <c r="BE226" s="11"/>
      <c r="BF226" s="11"/>
      <c r="BG226" s="11"/>
      <c r="BH226" s="11"/>
      <c r="BI226" s="11"/>
    </row>
    <row r="227" spans="1:63" ht="12" customHeight="1" x14ac:dyDescent="0.25">
      <c r="C227" s="8"/>
      <c r="D227"/>
      <c r="E227"/>
      <c r="BB227" s="11"/>
      <c r="BC227" s="11"/>
      <c r="BD227" s="11"/>
      <c r="BE227" s="11"/>
      <c r="BF227" s="11"/>
      <c r="BG227" s="11"/>
      <c r="BH227" s="11"/>
      <c r="BI227" s="11"/>
    </row>
    <row r="228" spans="1:63" ht="12" customHeight="1" x14ac:dyDescent="0.25">
      <c r="C228" s="8"/>
      <c r="D228"/>
      <c r="E228"/>
      <c r="BA228" s="11"/>
    </row>
    <row r="229" spans="1:63" ht="12" customHeight="1" x14ac:dyDescent="0.25">
      <c r="C229" s="8"/>
      <c r="D229"/>
      <c r="E229"/>
      <c r="BA229" s="11"/>
      <c r="BB229" s="12"/>
      <c r="BC229" s="12"/>
      <c r="BD229" s="12"/>
      <c r="BE229" s="12"/>
      <c r="BF229" s="12"/>
      <c r="BG229" s="12"/>
      <c r="BH229" s="12"/>
      <c r="BI229" s="12"/>
    </row>
    <row r="230" spans="1:63" ht="12" customHeight="1" x14ac:dyDescent="0.25">
      <c r="C230" s="8"/>
      <c r="D230"/>
      <c r="E230"/>
      <c r="G230" s="54"/>
      <c r="BA230" s="11"/>
      <c r="BB230" s="11"/>
      <c r="BC230" s="11"/>
      <c r="BD230" s="12"/>
      <c r="BE230" s="12"/>
      <c r="BF230" s="12"/>
      <c r="BG230" s="12"/>
      <c r="BH230" s="12"/>
      <c r="BI230" s="12"/>
    </row>
    <row r="231" spans="1:63" ht="12" customHeight="1" x14ac:dyDescent="0.25">
      <c r="C231" s="8"/>
      <c r="D231"/>
      <c r="E231"/>
      <c r="BA231" s="11"/>
    </row>
    <row r="232" spans="1:63" s="42" customFormat="1" ht="3.9" customHeight="1" x14ac:dyDescent="0.25">
      <c r="A232" s="8"/>
      <c r="B232" s="8"/>
      <c r="C232" s="8"/>
      <c r="D232"/>
      <c r="E232"/>
      <c r="F232" s="12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  <c r="R232" s="12"/>
      <c r="S232" s="12"/>
      <c r="T232" s="12"/>
      <c r="U232" s="12"/>
      <c r="V232" s="12"/>
      <c r="W232" s="12"/>
      <c r="X232" s="12"/>
      <c r="Y232" s="12"/>
      <c r="Z232" s="12"/>
      <c r="AA232" s="12"/>
      <c r="AB232" s="12"/>
      <c r="AC232" s="12"/>
      <c r="AD232" s="12"/>
      <c r="AE232" s="12"/>
      <c r="AF232" s="12"/>
      <c r="AG232" s="12"/>
      <c r="AH232" s="12"/>
      <c r="AI232" s="12"/>
      <c r="AJ232" s="12"/>
      <c r="AK232" s="12"/>
      <c r="AL232" s="12"/>
      <c r="AM232" s="12"/>
      <c r="AN232" s="12"/>
      <c r="AX232" s="59"/>
      <c r="AZ232" s="11"/>
      <c r="BA232" s="11"/>
      <c r="BK232" s="12"/>
    </row>
    <row r="233" spans="1:63" s="42" customFormat="1" ht="12" customHeight="1" x14ac:dyDescent="0.25">
      <c r="A233" s="8"/>
      <c r="B233" s="8"/>
      <c r="C233" s="8"/>
      <c r="D233" s="8"/>
      <c r="E233" s="9"/>
      <c r="F233" s="12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 s="11"/>
      <c r="BA233" s="11"/>
      <c r="BB233" s="11"/>
      <c r="BC233" s="11"/>
      <c r="BD233" s="11"/>
      <c r="BE233" s="11"/>
      <c r="BF233" s="11"/>
      <c r="BG233" s="11"/>
      <c r="BH233" s="11"/>
      <c r="BI233" s="11"/>
      <c r="BK233" s="12"/>
    </row>
    <row r="234" spans="1:63" s="42" customFormat="1" ht="12" customHeight="1" x14ac:dyDescent="0.25">
      <c r="A234" s="8">
        <v>0</v>
      </c>
      <c r="B234" s="8"/>
      <c r="C234" s="8"/>
      <c r="D234" s="8"/>
      <c r="E234" s="9"/>
      <c r="F234" s="12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 s="11"/>
      <c r="BB234" s="11"/>
      <c r="BC234" s="11"/>
      <c r="BD234" s="11"/>
      <c r="BE234" s="11"/>
      <c r="BF234" s="11"/>
      <c r="BG234" s="11"/>
      <c r="BH234" s="11"/>
      <c r="BI234" s="11"/>
    </row>
    <row r="235" spans="1:63" x14ac:dyDescent="0.25">
      <c r="BA235" s="11"/>
      <c r="BK235" s="42"/>
    </row>
    <row r="236" spans="1:63" x14ac:dyDescent="0.25">
      <c r="BA236" s="11"/>
      <c r="BK236" s="42"/>
    </row>
    <row r="237" spans="1:63" x14ac:dyDescent="0.25">
      <c r="BH237" s="12"/>
      <c r="BI237" s="12"/>
    </row>
    <row r="238" spans="1:63" x14ac:dyDescent="0.25">
      <c r="BH238" s="12"/>
      <c r="BI238" s="12"/>
    </row>
    <row r="239" spans="1:63" x14ac:dyDescent="0.25">
      <c r="BH239" s="12"/>
      <c r="BI239" s="12"/>
    </row>
    <row r="240" spans="1:63" x14ac:dyDescent="0.25"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BH240" s="12"/>
      <c r="BI240" s="12"/>
    </row>
    <row r="241" spans="7:48" x14ac:dyDescent="0.25"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</row>
    <row r="242" spans="7:48" x14ac:dyDescent="0.25"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</row>
    <row r="243" spans="7:48" x14ac:dyDescent="0.25"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</row>
    <row r="244" spans="7:48" x14ac:dyDescent="0.25"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</row>
  </sheetData>
  <sheetProtection sheet="1" formatCells="0" formatColumns="0" formatRows="0" selectLockedCells="1" sort="0" autoFilter="0"/>
  <mergeCells count="279">
    <mergeCell ref="AC91:AR91"/>
    <mergeCell ref="G107:R107"/>
    <mergeCell ref="G105:R106"/>
    <mergeCell ref="AC94:AW100"/>
    <mergeCell ref="AC93:AW93"/>
    <mergeCell ref="AC92:AP92"/>
    <mergeCell ref="AQ92:AW92"/>
    <mergeCell ref="AS91:AW91"/>
    <mergeCell ref="G91:R91"/>
    <mergeCell ref="G92:R92"/>
    <mergeCell ref="AC101:AW103"/>
    <mergeCell ref="S91:U91"/>
    <mergeCell ref="V91:X91"/>
    <mergeCell ref="Y91:AA91"/>
    <mergeCell ref="S92:U92"/>
    <mergeCell ref="V92:X92"/>
    <mergeCell ref="Y92:AA92"/>
    <mergeCell ref="S93:U93"/>
    <mergeCell ref="V93:X93"/>
    <mergeCell ref="Y93:AA93"/>
    <mergeCell ref="G93:R93"/>
    <mergeCell ref="S94:U94"/>
    <mergeCell ref="V94:X94"/>
    <mergeCell ref="Y94:AA94"/>
    <mergeCell ref="AC89:AR90"/>
    <mergeCell ref="AS89:AW90"/>
    <mergeCell ref="G84:R84"/>
    <mergeCell ref="G85:R85"/>
    <mergeCell ref="G86:R86"/>
    <mergeCell ref="G87:R87"/>
    <mergeCell ref="G88:R88"/>
    <mergeCell ref="G89:R89"/>
    <mergeCell ref="G90:R90"/>
    <mergeCell ref="S86:U86"/>
    <mergeCell ref="S85:U85"/>
    <mergeCell ref="AS83:AW84"/>
    <mergeCell ref="S84:U84"/>
    <mergeCell ref="Y84:AA84"/>
    <mergeCell ref="V84:X84"/>
    <mergeCell ref="Y83:AA83"/>
    <mergeCell ref="AC88:AR88"/>
    <mergeCell ref="AS88:AW88"/>
    <mergeCell ref="S87:U87"/>
    <mergeCell ref="V87:X87"/>
    <mergeCell ref="Y87:AA87"/>
    <mergeCell ref="AS87:AW87"/>
    <mergeCell ref="V85:X85"/>
    <mergeCell ref="Y85:AA85"/>
    <mergeCell ref="T3:AU3"/>
    <mergeCell ref="T4:AU4"/>
    <mergeCell ref="T5:AU5"/>
    <mergeCell ref="G10:I10"/>
    <mergeCell ref="K10:M10"/>
    <mergeCell ref="O10:AW11"/>
    <mergeCell ref="K26:AW26"/>
    <mergeCell ref="G13:I13"/>
    <mergeCell ref="K13:M13"/>
    <mergeCell ref="O13:AW16"/>
    <mergeCell ref="G18:AW18"/>
    <mergeCell ref="G20:AW20"/>
    <mergeCell ref="G22:I22"/>
    <mergeCell ref="K22:AW22"/>
    <mergeCell ref="G24:I24"/>
    <mergeCell ref="K24:AW24"/>
    <mergeCell ref="G25:I25"/>
    <mergeCell ref="K25:AW25"/>
    <mergeCell ref="G26:I26"/>
    <mergeCell ref="K33:AW33"/>
    <mergeCell ref="G31:I31"/>
    <mergeCell ref="K31:AW31"/>
    <mergeCell ref="G33:I33"/>
    <mergeCell ref="G35:I35"/>
    <mergeCell ref="K35:AW35"/>
    <mergeCell ref="G37:I37"/>
    <mergeCell ref="K37:AW37"/>
    <mergeCell ref="G27:I27"/>
    <mergeCell ref="G28:I28"/>
    <mergeCell ref="K28:AW28"/>
    <mergeCell ref="G29:I29"/>
    <mergeCell ref="K29:AW29"/>
    <mergeCell ref="K27:AW27"/>
    <mergeCell ref="G38:I38"/>
    <mergeCell ref="K38:AW38"/>
    <mergeCell ref="G39:I39"/>
    <mergeCell ref="K39:AW39"/>
    <mergeCell ref="S50:T50"/>
    <mergeCell ref="U50:Z50"/>
    <mergeCell ref="AP50:AW50"/>
    <mergeCell ref="K40:AW41"/>
    <mergeCell ref="G40:I41"/>
    <mergeCell ref="AK62:AP62"/>
    <mergeCell ref="AS62:AW62"/>
    <mergeCell ref="AB64:AH64"/>
    <mergeCell ref="AI64:AJ64"/>
    <mergeCell ref="AK64:AP64"/>
    <mergeCell ref="AQ64:AW64"/>
    <mergeCell ref="AB62:AH62"/>
    <mergeCell ref="AI62:AJ62"/>
    <mergeCell ref="AZ51:BD54"/>
    <mergeCell ref="U53:AV53"/>
    <mergeCell ref="U54:AV54"/>
    <mergeCell ref="AK58:AP58"/>
    <mergeCell ref="AQ58:AW58"/>
    <mergeCell ref="G58:X58"/>
    <mergeCell ref="Y58:AJ58"/>
    <mergeCell ref="S51:Z51"/>
    <mergeCell ref="AP51:AW51"/>
    <mergeCell ref="V71:Z71"/>
    <mergeCell ref="AV71:AW71"/>
    <mergeCell ref="G59:X59"/>
    <mergeCell ref="Y59:AJ59"/>
    <mergeCell ref="G61:P61"/>
    <mergeCell ref="Q61:AA61"/>
    <mergeCell ref="G62:P62"/>
    <mergeCell ref="Q62:AA62"/>
    <mergeCell ref="AQ62:AR62"/>
    <mergeCell ref="Q65:AA65"/>
    <mergeCell ref="AB65:AH65"/>
    <mergeCell ref="AQ65:AR65"/>
    <mergeCell ref="G70:U70"/>
    <mergeCell ref="V70:Z70"/>
    <mergeCell ref="AA70:AU70"/>
    <mergeCell ref="G64:P64"/>
    <mergeCell ref="Q64:AA64"/>
    <mergeCell ref="AK59:AP59"/>
    <mergeCell ref="AQ59:AR59"/>
    <mergeCell ref="AS59:AW59"/>
    <mergeCell ref="AB61:AH61"/>
    <mergeCell ref="AI61:AJ61"/>
    <mergeCell ref="AK61:AP61"/>
    <mergeCell ref="AQ61:AW61"/>
    <mergeCell ref="AI65:AJ65"/>
    <mergeCell ref="AK65:AP65"/>
    <mergeCell ref="AA71:AU71"/>
    <mergeCell ref="G71:U71"/>
    <mergeCell ref="AC82:AR82"/>
    <mergeCell ref="AS82:AW82"/>
    <mergeCell ref="Y73:AB73"/>
    <mergeCell ref="AK73:AP73"/>
    <mergeCell ref="G72:L72"/>
    <mergeCell ref="M72:S72"/>
    <mergeCell ref="T72:AC72"/>
    <mergeCell ref="AD72:AJ72"/>
    <mergeCell ref="AK72:AP72"/>
    <mergeCell ref="AQ72:AW72"/>
    <mergeCell ref="AQ73:AW73"/>
    <mergeCell ref="T73:W73"/>
    <mergeCell ref="AS65:AW65"/>
    <mergeCell ref="G67:AW67"/>
    <mergeCell ref="G68:AI68"/>
    <mergeCell ref="AJ68:AW68"/>
    <mergeCell ref="G69:AI69"/>
    <mergeCell ref="AJ69:AW69"/>
    <mergeCell ref="G65:P65"/>
    <mergeCell ref="AV70:AW70"/>
    <mergeCell ref="BB73:BF73"/>
    <mergeCell ref="BH73:BI73"/>
    <mergeCell ref="G77:AA77"/>
    <mergeCell ref="AC77:AW77"/>
    <mergeCell ref="AD73:AJ73"/>
    <mergeCell ref="AS79:AW79"/>
    <mergeCell ref="AP81:AW81"/>
    <mergeCell ref="G78:AA78"/>
    <mergeCell ref="AC78:AW78"/>
    <mergeCell ref="AC81:AJ81"/>
    <mergeCell ref="AC79:AG79"/>
    <mergeCell ref="AH79:AL79"/>
    <mergeCell ref="AC80:AW80"/>
    <mergeCell ref="G79:R83"/>
    <mergeCell ref="S79:U82"/>
    <mergeCell ref="V79:X82"/>
    <mergeCell ref="Y79:AA82"/>
    <mergeCell ref="AK81:AO81"/>
    <mergeCell ref="AC85:AR85"/>
    <mergeCell ref="AS85:AW85"/>
    <mergeCell ref="AI87:AL87"/>
    <mergeCell ref="AM87:AR87"/>
    <mergeCell ref="V86:X86"/>
    <mergeCell ref="Y86:AA86"/>
    <mergeCell ref="AC86:AR86"/>
    <mergeCell ref="AS86:AW86"/>
    <mergeCell ref="AC87:AH87"/>
    <mergeCell ref="S90:U90"/>
    <mergeCell ref="V90:X90"/>
    <mergeCell ref="Y90:AA90"/>
    <mergeCell ref="S88:U88"/>
    <mergeCell ref="V88:X88"/>
    <mergeCell ref="Y88:AA88"/>
    <mergeCell ref="S89:U89"/>
    <mergeCell ref="V89:X89"/>
    <mergeCell ref="Y89:AA89"/>
    <mergeCell ref="S95:U95"/>
    <mergeCell ref="V95:X95"/>
    <mergeCell ref="Y95:AA95"/>
    <mergeCell ref="G94:R94"/>
    <mergeCell ref="G95:R95"/>
    <mergeCell ref="S96:U96"/>
    <mergeCell ref="V96:X96"/>
    <mergeCell ref="Y96:AA96"/>
    <mergeCell ref="S97:U97"/>
    <mergeCell ref="V97:X97"/>
    <mergeCell ref="Y97:AA97"/>
    <mergeCell ref="G96:R96"/>
    <mergeCell ref="G97:R97"/>
    <mergeCell ref="S98:U98"/>
    <mergeCell ref="V98:X98"/>
    <mergeCell ref="Y98:AA98"/>
    <mergeCell ref="S99:U99"/>
    <mergeCell ref="V99:X99"/>
    <mergeCell ref="Y99:AA99"/>
    <mergeCell ref="G98:R98"/>
    <mergeCell ref="G99:R99"/>
    <mergeCell ref="S100:U100"/>
    <mergeCell ref="V100:X100"/>
    <mergeCell ref="Y100:AA100"/>
    <mergeCell ref="S101:U101"/>
    <mergeCell ref="V101:X101"/>
    <mergeCell ref="Y101:AA101"/>
    <mergeCell ref="G100:R100"/>
    <mergeCell ref="G101:R101"/>
    <mergeCell ref="S102:U102"/>
    <mergeCell ref="V102:X102"/>
    <mergeCell ref="Y102:AA102"/>
    <mergeCell ref="S103:U103"/>
    <mergeCell ref="V103:X103"/>
    <mergeCell ref="Y103:AA103"/>
    <mergeCell ref="G102:R102"/>
    <mergeCell ref="G103:R103"/>
    <mergeCell ref="S104:U104"/>
    <mergeCell ref="V104:X104"/>
    <mergeCell ref="Y104:AA104"/>
    <mergeCell ref="G104:R104"/>
    <mergeCell ref="I215:Z215"/>
    <mergeCell ref="AE215:AV215"/>
    <mergeCell ref="G73:L73"/>
    <mergeCell ref="M73:S73"/>
    <mergeCell ref="S83:U83"/>
    <mergeCell ref="V83:X83"/>
    <mergeCell ref="AC83:AR84"/>
    <mergeCell ref="AM79:AR79"/>
    <mergeCell ref="G111:AA124"/>
    <mergeCell ref="G125:AA126"/>
    <mergeCell ref="AC104:AW107"/>
    <mergeCell ref="S105:U106"/>
    <mergeCell ref="V105:X106"/>
    <mergeCell ref="Y105:AA106"/>
    <mergeCell ref="S107:U107"/>
    <mergeCell ref="V107:X107"/>
    <mergeCell ref="Y107:AA107"/>
    <mergeCell ref="AC111:AW124"/>
    <mergeCell ref="AC125:AW126"/>
    <mergeCell ref="AC176:AW189"/>
    <mergeCell ref="AE216:AJ216"/>
    <mergeCell ref="G217:AA221"/>
    <mergeCell ref="AE219:AV219"/>
    <mergeCell ref="AE220:AV220"/>
    <mergeCell ref="AE221:AJ221"/>
    <mergeCell ref="AP221:AV221"/>
    <mergeCell ref="H214:Z214"/>
    <mergeCell ref="AE214:AV214"/>
    <mergeCell ref="G190:AA191"/>
    <mergeCell ref="G192:AA205"/>
    <mergeCell ref="G206:AA207"/>
    <mergeCell ref="AC192:AW205"/>
    <mergeCell ref="AC206:AW207"/>
    <mergeCell ref="G127:AA140"/>
    <mergeCell ref="G141:AA142"/>
    <mergeCell ref="AC127:AW140"/>
    <mergeCell ref="AC141:AW142"/>
    <mergeCell ref="G143:AA156"/>
    <mergeCell ref="G157:AA158"/>
    <mergeCell ref="AC143:AW156"/>
    <mergeCell ref="AC157:AW158"/>
    <mergeCell ref="AC190:AW191"/>
    <mergeCell ref="G160:AA173"/>
    <mergeCell ref="G174:AA175"/>
    <mergeCell ref="AC160:AW173"/>
    <mergeCell ref="AC174:AW175"/>
    <mergeCell ref="G176:AA189"/>
  </mergeCells>
  <conditionalFormatting sqref="G13:G14 BI75">
    <cfRule type="cellIs" dxfId="157" priority="127" stopIfTrue="1" operator="equal">
      <formula>0</formula>
    </cfRule>
  </conditionalFormatting>
  <conditionalFormatting sqref="BF77">
    <cfRule type="cellIs" dxfId="156" priority="131" stopIfTrue="1" operator="equal">
      <formula>BF77+BD77</formula>
    </cfRule>
    <cfRule type="cellIs" dxfId="155" priority="132" stopIfTrue="1" operator="equal">
      <formula>0</formula>
    </cfRule>
  </conditionalFormatting>
  <conditionalFormatting sqref="H214:Z214">
    <cfRule type="cellIs" dxfId="154" priority="126" stopIfTrue="1" operator="equal">
      <formula>0</formula>
    </cfRule>
  </conditionalFormatting>
  <conditionalFormatting sqref="AE215:AV215">
    <cfRule type="cellIs" dxfId="153" priority="125" stopIfTrue="1" operator="equal">
      <formula>0</formula>
    </cfRule>
  </conditionalFormatting>
  <conditionalFormatting sqref="AE216:AJ216">
    <cfRule type="cellIs" dxfId="152" priority="101" stopIfTrue="1" operator="equal">
      <formula>0</formula>
    </cfRule>
    <cfRule type="cellIs" dxfId="151" priority="123" stopIfTrue="1" operator="equal">
      <formula>0</formula>
    </cfRule>
  </conditionalFormatting>
  <conditionalFormatting sqref="AP221:AV221">
    <cfRule type="cellIs" dxfId="150" priority="42" stopIfTrue="1" operator="equal">
      <formula>"0/0"</formula>
    </cfRule>
  </conditionalFormatting>
  <conditionalFormatting sqref="AK81:AO81 AH79:AL79 AS79:AW79">
    <cfRule type="cellIs" dxfId="149" priority="117" stopIfTrue="1" operator="equal">
      <formula>0</formula>
    </cfRule>
  </conditionalFormatting>
  <conditionalFormatting sqref="Y105:AA105">
    <cfRule type="cellIs" dxfId="148" priority="115" stopIfTrue="1" operator="equal">
      <formula>0</formula>
    </cfRule>
  </conditionalFormatting>
  <conditionalFormatting sqref="BD77:BD113">
    <cfRule type="cellIs" dxfId="147" priority="113" stopIfTrue="1" operator="equal">
      <formula>0</formula>
    </cfRule>
  </conditionalFormatting>
  <conditionalFormatting sqref="BF78:BF113">
    <cfRule type="cellIs" dxfId="146" priority="111" stopIfTrue="1" operator="equal">
      <formula>BF78+BD78</formula>
    </cfRule>
    <cfRule type="cellIs" dxfId="145" priority="112" stopIfTrue="1" operator="equal">
      <formula>0</formula>
    </cfRule>
  </conditionalFormatting>
  <conditionalFormatting sqref="BE77:BE113">
    <cfRule type="cellIs" dxfId="144" priority="110" stopIfTrue="1" operator="equal">
      <formula>"100+BC77"</formula>
    </cfRule>
    <cfRule type="cellIs" dxfId="143" priority="128" stopIfTrue="1" operator="equal">
      <formula>100</formula>
    </cfRule>
    <cfRule type="cellIs" dxfId="142" priority="130" stopIfTrue="1" operator="greaterThan">
      <formula>100</formula>
    </cfRule>
  </conditionalFormatting>
  <conditionalFormatting sqref="S51:Z51">
    <cfRule type="cellIs" dxfId="141" priority="96" stopIfTrue="1" operator="equal">
      <formula>0</formula>
    </cfRule>
  </conditionalFormatting>
  <conditionalFormatting sqref="AE220:AV220">
    <cfRule type="cellIs" dxfId="140" priority="100" stopIfTrue="1" operator="equal">
      <formula>0</formula>
    </cfRule>
  </conditionalFormatting>
  <conditionalFormatting sqref="AE221:AJ221">
    <cfRule type="cellIs" dxfId="139" priority="98" stopIfTrue="1" operator="equal">
      <formula>0</formula>
    </cfRule>
    <cfRule type="cellIs" dxfId="138" priority="99" stopIfTrue="1" operator="equal">
      <formula>0</formula>
    </cfRule>
  </conditionalFormatting>
  <conditionalFormatting sqref="G59:AJ59">
    <cfRule type="cellIs" dxfId="137" priority="84" stopIfTrue="1" operator="equal">
      <formula>0</formula>
    </cfRule>
  </conditionalFormatting>
  <conditionalFormatting sqref="AK59:AW59 AK62:AW62">
    <cfRule type="cellIs" dxfId="136" priority="90" stopIfTrue="1" operator="equal">
      <formula>0</formula>
    </cfRule>
  </conditionalFormatting>
  <conditionalFormatting sqref="AB62:AH62">
    <cfRule type="cellIs" dxfId="135" priority="95" stopIfTrue="1" operator="equal">
      <formula>0</formula>
    </cfRule>
  </conditionalFormatting>
  <conditionalFormatting sqref="AI62:AJ62">
    <cfRule type="cellIs" dxfId="134" priority="94" stopIfTrue="1" operator="equal">
      <formula>0</formula>
    </cfRule>
  </conditionalFormatting>
  <conditionalFormatting sqref="AV71:AW71">
    <cfRule type="cellIs" dxfId="133" priority="93" stopIfTrue="1" operator="equal">
      <formula>0</formula>
    </cfRule>
  </conditionalFormatting>
  <conditionalFormatting sqref="G69:AW69">
    <cfRule type="cellIs" dxfId="132" priority="92" stopIfTrue="1" operator="equal">
      <formula>0</formula>
    </cfRule>
  </conditionalFormatting>
  <conditionalFormatting sqref="G71:AU71">
    <cfRule type="cellIs" dxfId="131" priority="91" stopIfTrue="1" operator="equal">
      <formula>0</formula>
    </cfRule>
  </conditionalFormatting>
  <conditionalFormatting sqref="AK65:AW65">
    <cfRule type="cellIs" dxfId="130" priority="87" stopIfTrue="1" operator="equal">
      <formula>0</formula>
    </cfRule>
  </conditionalFormatting>
  <conditionalFormatting sqref="AB65:AH65">
    <cfRule type="cellIs" dxfId="129" priority="89" stopIfTrue="1" operator="equal">
      <formula>0</formula>
    </cfRule>
  </conditionalFormatting>
  <conditionalFormatting sqref="AI65:AJ65">
    <cfRule type="cellIs" dxfId="128" priority="88" stopIfTrue="1" operator="equal">
      <formula>0</formula>
    </cfRule>
  </conditionalFormatting>
  <conditionalFormatting sqref="G62:P62 G65:P65">
    <cfRule type="cellIs" dxfId="127" priority="85" stopIfTrue="1" operator="equal">
      <formula>0</formula>
    </cfRule>
  </conditionalFormatting>
  <conditionalFormatting sqref="Q62:AA62 Q65:AA65">
    <cfRule type="cellIs" dxfId="126" priority="86" stopIfTrue="1" operator="equal">
      <formula>0</formula>
    </cfRule>
  </conditionalFormatting>
  <conditionalFormatting sqref="G73:S73 AD73:AJ73">
    <cfRule type="cellIs" dxfId="125" priority="83" stopIfTrue="1" operator="equal">
      <formula>0</formula>
    </cfRule>
  </conditionalFormatting>
  <conditionalFormatting sqref="AQ73:AW73">
    <cfRule type="cellIs" dxfId="124" priority="81" stopIfTrue="1" operator="equal">
      <formula>0</formula>
    </cfRule>
  </conditionalFormatting>
  <conditionalFormatting sqref="AK73:AP73">
    <cfRule type="cellIs" dxfId="123" priority="82" stopIfTrue="1" operator="equal">
      <formula>0</formula>
    </cfRule>
  </conditionalFormatting>
  <conditionalFormatting sqref="X73">
    <cfRule type="cellIs" dxfId="122" priority="80" stopIfTrue="1" operator="equal">
      <formula>0</formula>
    </cfRule>
  </conditionalFormatting>
  <conditionalFormatting sqref="T73:W73">
    <cfRule type="cellIs" dxfId="121" priority="79" stopIfTrue="1" operator="equal">
      <formula>0</formula>
    </cfRule>
  </conditionalFormatting>
  <conditionalFormatting sqref="Y73:AB73">
    <cfRule type="cellIs" dxfId="120" priority="78" stopIfTrue="1" operator="equal">
      <formula>0</formula>
    </cfRule>
  </conditionalFormatting>
  <conditionalFormatting sqref="BI77:BI78">
    <cfRule type="cellIs" dxfId="119" priority="76" stopIfTrue="1" operator="equal">
      <formula>0</formula>
    </cfRule>
  </conditionalFormatting>
  <conditionalFormatting sqref="BI79:BI81">
    <cfRule type="cellIs" dxfId="118" priority="75" stopIfTrue="1" operator="equal">
      <formula>0</formula>
    </cfRule>
  </conditionalFormatting>
  <conditionalFormatting sqref="BE78:BE113">
    <cfRule type="cellIs" dxfId="117" priority="589" stopIfTrue="1" operator="equal">
      <formula>BE78+#REF!-BE77</formula>
    </cfRule>
  </conditionalFormatting>
  <conditionalFormatting sqref="BD78:BD113">
    <cfRule type="cellIs" dxfId="116" priority="590" stopIfTrue="1" operator="equal">
      <formula>BD78+#REF!-BD77</formula>
    </cfRule>
  </conditionalFormatting>
  <conditionalFormatting sqref="BE77:BE78">
    <cfRule type="cellIs" dxfId="115" priority="591" stopIfTrue="1" operator="equal">
      <formula>BE77+#REF!</formula>
    </cfRule>
  </conditionalFormatting>
  <conditionalFormatting sqref="G125">
    <cfRule type="cellIs" dxfId="114" priority="40" stopIfTrue="1" operator="equal">
      <formula>"Descrever foto"</formula>
    </cfRule>
  </conditionalFormatting>
  <conditionalFormatting sqref="AC125">
    <cfRule type="cellIs" dxfId="113" priority="35" stopIfTrue="1" operator="equal">
      <formula>"Descrever foto"</formula>
    </cfRule>
  </conditionalFormatting>
  <conditionalFormatting sqref="AC111">
    <cfRule type="cellIs" dxfId="112" priority="36" stopIfTrue="1" operator="equal">
      <formula>"Descrever foto"</formula>
    </cfRule>
  </conditionalFormatting>
  <conditionalFormatting sqref="G141">
    <cfRule type="cellIs" dxfId="111" priority="33" stopIfTrue="1" operator="equal">
      <formula>"Descrever foto"</formula>
    </cfRule>
  </conditionalFormatting>
  <conditionalFormatting sqref="G127">
    <cfRule type="cellIs" dxfId="110" priority="34" stopIfTrue="1" operator="equal">
      <formula>"Descrever foto"</formula>
    </cfRule>
  </conditionalFormatting>
  <conditionalFormatting sqref="AC141">
    <cfRule type="cellIs" dxfId="109" priority="31" stopIfTrue="1" operator="equal">
      <formula>"Descrever foto"</formula>
    </cfRule>
  </conditionalFormatting>
  <conditionalFormatting sqref="AC127">
    <cfRule type="cellIs" dxfId="108" priority="32" stopIfTrue="1" operator="equal">
      <formula>"Descrever foto"</formula>
    </cfRule>
  </conditionalFormatting>
  <conditionalFormatting sqref="G157">
    <cfRule type="cellIs" dxfId="107" priority="29" stopIfTrue="1" operator="equal">
      <formula>"Descrever foto"</formula>
    </cfRule>
  </conditionalFormatting>
  <conditionalFormatting sqref="G143">
    <cfRule type="cellIs" dxfId="106" priority="30" stopIfTrue="1" operator="equal">
      <formula>"Descrever foto"</formula>
    </cfRule>
  </conditionalFormatting>
  <conditionalFormatting sqref="AC157">
    <cfRule type="cellIs" dxfId="105" priority="27" stopIfTrue="1" operator="equal">
      <formula>"Descrever foto"</formula>
    </cfRule>
  </conditionalFormatting>
  <conditionalFormatting sqref="AC143">
    <cfRule type="cellIs" dxfId="104" priority="28" stopIfTrue="1" operator="equal">
      <formula>"Descrever foto"</formula>
    </cfRule>
  </conditionalFormatting>
  <conditionalFormatting sqref="G174">
    <cfRule type="cellIs" dxfId="103" priority="25" stopIfTrue="1" operator="equal">
      <formula>"Descrever foto"</formula>
    </cfRule>
  </conditionalFormatting>
  <conditionalFormatting sqref="G160">
    <cfRule type="cellIs" dxfId="102" priority="26" stopIfTrue="1" operator="equal">
      <formula>"Descrever foto"</formula>
    </cfRule>
  </conditionalFormatting>
  <conditionalFormatting sqref="AC174">
    <cfRule type="cellIs" dxfId="101" priority="23" stopIfTrue="1" operator="equal">
      <formula>"Descrever foto"</formula>
    </cfRule>
  </conditionalFormatting>
  <conditionalFormatting sqref="AC160">
    <cfRule type="cellIs" dxfId="100" priority="24" stopIfTrue="1" operator="equal">
      <formula>"Descrever foto"</formula>
    </cfRule>
  </conditionalFormatting>
  <conditionalFormatting sqref="G190">
    <cfRule type="cellIs" dxfId="99" priority="21" stopIfTrue="1" operator="equal">
      <formula>"Descrever foto"</formula>
    </cfRule>
  </conditionalFormatting>
  <conditionalFormatting sqref="G176">
    <cfRule type="cellIs" dxfId="98" priority="22" stopIfTrue="1" operator="equal">
      <formula>"Descrever foto"</formula>
    </cfRule>
  </conditionalFormatting>
  <conditionalFormatting sqref="AC190">
    <cfRule type="cellIs" dxfId="97" priority="19" stopIfTrue="1" operator="equal">
      <formula>"Descrever foto"</formula>
    </cfRule>
  </conditionalFormatting>
  <conditionalFormatting sqref="AC176">
    <cfRule type="cellIs" dxfId="96" priority="20" stopIfTrue="1" operator="equal">
      <formula>"Descrever foto"</formula>
    </cfRule>
  </conditionalFormatting>
  <conditionalFormatting sqref="G206">
    <cfRule type="cellIs" dxfId="95" priority="17" stopIfTrue="1" operator="equal">
      <formula>"Descrever foto"</formula>
    </cfRule>
  </conditionalFormatting>
  <conditionalFormatting sqref="G192">
    <cfRule type="cellIs" dxfId="94" priority="18" stopIfTrue="1" operator="equal">
      <formula>"Descrever foto"</formula>
    </cfRule>
  </conditionalFormatting>
  <conditionalFormatting sqref="AC206">
    <cfRule type="cellIs" dxfId="93" priority="15" stopIfTrue="1" operator="equal">
      <formula>"Descrever foto"</formula>
    </cfRule>
  </conditionalFormatting>
  <conditionalFormatting sqref="AC192">
    <cfRule type="cellIs" dxfId="92" priority="16" stopIfTrue="1" operator="equal">
      <formula>"Descrever foto"</formula>
    </cfRule>
  </conditionalFormatting>
  <conditionalFormatting sqref="G111">
    <cfRule type="cellIs" dxfId="91" priority="14" stopIfTrue="1" operator="equal">
      <formula>"Descrever foto"</formula>
    </cfRule>
  </conditionalFormatting>
  <conditionalFormatting sqref="BB65:BL72">
    <cfRule type="cellIs" dxfId="90" priority="13" stopIfTrue="1" operator="equal">
      <formula>BB65&amp;AL68</formula>
    </cfRule>
  </conditionalFormatting>
  <conditionalFormatting sqref="AC101">
    <cfRule type="cellIs" dxfId="89" priority="8" stopIfTrue="1" operator="equal">
      <formula>0</formula>
    </cfRule>
  </conditionalFormatting>
  <conditionalFormatting sqref="AC94">
    <cfRule type="cellIs" dxfId="88" priority="7" stopIfTrue="1" operator="equal">
      <formula>0</formula>
    </cfRule>
  </conditionalFormatting>
  <conditionalFormatting sqref="AQ92:AW92">
    <cfRule type="cellIs" dxfId="87" priority="6" stopIfTrue="1" operator="equal">
      <formula>0</formula>
    </cfRule>
  </conditionalFormatting>
  <conditionalFormatting sqref="AS91:AW91">
    <cfRule type="cellIs" dxfId="86" priority="5" stopIfTrue="1" operator="equal">
      <formula>0</formula>
    </cfRule>
  </conditionalFormatting>
  <conditionalFormatting sqref="AI87">
    <cfRule type="cellIs" dxfId="85" priority="4" stopIfTrue="1" operator="equal">
      <formula>0</formula>
    </cfRule>
  </conditionalFormatting>
  <conditionalFormatting sqref="AS87:AW87">
    <cfRule type="cellIs" dxfId="84" priority="2" stopIfTrue="1" operator="equal">
      <formula>0</formula>
    </cfRule>
  </conditionalFormatting>
  <conditionalFormatting sqref="AC104">
    <cfRule type="cellIs" dxfId="83" priority="1" stopIfTrue="1" operator="equal">
      <formula>0</formula>
    </cfRule>
  </conditionalFormatting>
  <dataValidations count="4">
    <dataValidation type="list" allowBlank="1" showInputMessage="1" showErrorMessage="1" sqref="AS83 AS88:AS89 AS85:AS86 AT88:AW88" xr:uid="{00000000-0002-0000-0200-000000000000}">
      <formula1>"sim,não"</formula1>
    </dataValidation>
    <dataValidation type="list" allowBlank="1" showInputMessage="1" showErrorMessage="1" sqref="AV71:AW71 AI62:AJ62 AI65:AJ65" xr:uid="{00000000-0002-0000-0200-000001000000}">
      <formula1>"AC,AL,AP,AM,BA,CE,DF,ES,GO,MA,MT,MS,MG,PA,PB,PR,PE,PI,RR,RO,RJ,RN,RS,SC,SP,SE,TO"</formula1>
    </dataValidation>
    <dataValidation type="list" allowBlank="1" showInputMessage="1" showErrorMessage="1" sqref="X73" xr:uid="{00000000-0002-0000-0200-000002000000}">
      <formula1>"N,S"</formula1>
    </dataValidation>
    <dataValidation type="list" allowBlank="1" showInputMessage="1" showErrorMessage="1" sqref="V84:X103" xr:uid="{00000000-0002-0000-0200-000003000000}">
      <formula1>"0%,5%,10%,15%,20%,25%,30%,35%,40%,45%,50%,55%,60%,65%,70%,75%,80%,85%,90%,95%,100%"</formula1>
    </dataValidation>
  </dataValidations>
  <printOptions horizontalCentered="1"/>
  <pageMargins left="0.39370078740157483" right="0.19685039370078741" top="0.78740157480314965" bottom="0.59055118110236227" header="0.39370078740157483" footer="0.39370078740157483"/>
  <pageSetup paperSize="9" scale="98" fitToHeight="0" orientation="portrait" horizontalDpi="1200" verticalDpi="1200" r:id="rId1"/>
  <headerFooter>
    <oddHeader>&amp;L&amp;6Esse arquivo é gratuito e de uso
exclusivo entre CAIXA, seus
representantes legais e clientes. &amp;R&amp;6Esse Documento só tem validade se estiver
assinado pelo Proponente e pelo Responsável
Técnico pela execução da obra devidamente identificados.</oddHeader>
    <oddFooter>&amp;LVigência: 11/08/2023&amp;C&amp;A
&amp;8Construção em Terreno Próprio e Aquisição de Terreno e Construção&amp;R&amp;P/&amp;N</oddFooter>
  </headerFooter>
  <rowBreaks count="2" manualBreakCount="2">
    <brk id="108" min="5" max="49" man="1"/>
    <brk id="158" min="5" max="49" man="1"/>
  </rowBreaks>
  <ignoredErrors>
    <ignoredError sqref="G59 Y59 AK59 AQ59 AS59 G62 Q62 AB62 AI62 AK62 AQ62 AS62 G65 Q65 AB65 AI65 AK65 AQ65 AS65 G69 AJ69 G71 V71 AA71 AV71 G73 M73 T73 X73:Y73 AD73" unlockedFormula="1"/>
  </ignoredErrors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5"/>
  <dimension ref="A1:N25"/>
  <sheetViews>
    <sheetView workbookViewId="0">
      <selection activeCell="D11" sqref="D11"/>
    </sheetView>
  </sheetViews>
  <sheetFormatPr defaultRowHeight="13.2" x14ac:dyDescent="0.25"/>
  <cols>
    <col min="3" max="3" width="17.33203125" customWidth="1"/>
    <col min="5" max="5" width="17.109375" customWidth="1"/>
    <col min="6" max="6" width="14" customWidth="1"/>
    <col min="8" max="8" width="10.109375" bestFit="1" customWidth="1"/>
  </cols>
  <sheetData>
    <row r="1" spans="1:14" x14ac:dyDescent="0.25">
      <c r="A1" s="121"/>
      <c r="B1" s="121"/>
      <c r="C1" s="121"/>
      <c r="D1" s="121"/>
      <c r="E1" s="121"/>
      <c r="F1" s="121"/>
      <c r="G1" s="121"/>
      <c r="H1" s="121"/>
      <c r="I1" s="121"/>
    </row>
    <row r="2" spans="1:14" x14ac:dyDescent="0.25">
      <c r="A2" s="121"/>
      <c r="B2" s="121"/>
      <c r="C2" s="121"/>
      <c r="D2" s="121"/>
      <c r="E2" s="157" t="s">
        <v>415</v>
      </c>
      <c r="F2" s="157" t="s">
        <v>416</v>
      </c>
      <c r="G2" s="121"/>
      <c r="H2" s="121"/>
      <c r="I2" s="121"/>
    </row>
    <row r="3" spans="1:14" x14ac:dyDescent="0.25">
      <c r="A3" s="158"/>
      <c r="B3" s="158"/>
      <c r="C3" s="159" t="s">
        <v>417</v>
      </c>
      <c r="D3" s="186">
        <f>PLS!Y104</f>
        <v>0</v>
      </c>
      <c r="E3" s="160">
        <f>IFERROR(VLOOKUP(E5,#REF!,11),0)</f>
        <v>0</v>
      </c>
      <c r="F3" s="160">
        <f>D3-E3</f>
        <v>0</v>
      </c>
      <c r="G3" s="158"/>
      <c r="H3" s="158"/>
      <c r="I3" s="158"/>
    </row>
    <row r="4" spans="1:14" x14ac:dyDescent="0.25">
      <c r="A4" s="121"/>
      <c r="B4" s="121"/>
      <c r="C4" s="161" t="s">
        <v>418</v>
      </c>
      <c r="D4" s="162" t="e">
        <f ca="1">_xlfn.XLOOKUP(100%,Proposta_Constr_Individual!AM145:AM169,Proposta_Constr_Individual!AK145:AK169,0)</f>
        <v>#NAME?</v>
      </c>
      <c r="E4" s="121"/>
      <c r="F4" s="121"/>
      <c r="G4" s="121"/>
      <c r="H4" s="121"/>
      <c r="I4" s="121"/>
    </row>
    <row r="5" spans="1:14" ht="25.8" x14ac:dyDescent="0.25">
      <c r="A5" s="121"/>
      <c r="B5" s="121"/>
      <c r="C5" s="161" t="s">
        <v>419</v>
      </c>
      <c r="D5" s="162">
        <f>D6</f>
        <v>5</v>
      </c>
      <c r="E5" s="163">
        <f>IFERROR((D5-3),0)</f>
        <v>2</v>
      </c>
      <c r="F5" s="164"/>
      <c r="G5" s="165" t="s">
        <v>420</v>
      </c>
      <c r="H5" s="166">
        <f>IFERROR(DATE(L6,(M6+D6-1),N6),0)</f>
        <v>44679</v>
      </c>
      <c r="I5" s="121"/>
      <c r="L5" t="s">
        <v>421</v>
      </c>
      <c r="M5" t="s">
        <v>422</v>
      </c>
      <c r="N5" t="s">
        <v>423</v>
      </c>
    </row>
    <row r="6" spans="1:14" ht="25.8" x14ac:dyDescent="0.25">
      <c r="A6" s="121"/>
      <c r="B6" s="121"/>
      <c r="C6" s="161" t="s">
        <v>424</v>
      </c>
      <c r="D6" s="167">
        <f>IF(AND(PLS!AH79&lt;&gt;"",PLS!AK81&lt;&gt;""),INT(DAYS360(PLS!AH79,PLS!AK81)/30),"Datas?")</f>
        <v>5</v>
      </c>
      <c r="E6" s="121"/>
      <c r="F6" s="164"/>
      <c r="G6" s="165" t="s">
        <v>425</v>
      </c>
      <c r="H6" s="166">
        <f>IFERROR(DATE(L6,(M6+D6),N6),0)</f>
        <v>44709</v>
      </c>
      <c r="I6" s="121"/>
      <c r="L6">
        <f>YEAR(PLS!AH79)</f>
        <v>2021</v>
      </c>
      <c r="M6">
        <f>MONTH(PLS!AH79)</f>
        <v>12</v>
      </c>
      <c r="N6">
        <f>DAY(PLS!AH79)</f>
        <v>28</v>
      </c>
    </row>
    <row r="7" spans="1:14" x14ac:dyDescent="0.25">
      <c r="A7" s="121"/>
      <c r="B7" s="121"/>
      <c r="C7" s="161" t="s">
        <v>426</v>
      </c>
      <c r="D7" s="162" t="str">
        <f>IFERROR(CONCATENATE(TEXT(H5,"dd/mm/aa")," a ",TEXT(H6,"dd/mm/aa")),0)</f>
        <v>28/04/22 a 28/05/22</v>
      </c>
      <c r="E7" s="121"/>
      <c r="F7" s="121"/>
      <c r="G7" s="121"/>
      <c r="H7" s="121"/>
      <c r="I7" s="121"/>
    </row>
    <row r="8" spans="1:14" ht="25.8" x14ac:dyDescent="0.25">
      <c r="A8" s="121"/>
      <c r="B8" s="121"/>
      <c r="C8" s="121"/>
      <c r="D8" s="121"/>
      <c r="E8" s="121"/>
      <c r="F8" s="121"/>
      <c r="G8" s="168"/>
      <c r="H8" s="169"/>
      <c r="I8" s="168"/>
    </row>
    <row r="9" spans="1:14" x14ac:dyDescent="0.25">
      <c r="A9" s="121"/>
      <c r="B9" s="121"/>
      <c r="C9" s="161" t="str">
        <f>IF(D5&gt;0,"% previsto na etapa "&amp;D5&amp;":","% previsto na etapa "&amp;D6&amp;":")</f>
        <v>% previsto na etapa 5:</v>
      </c>
      <c r="D9" s="187" t="e">
        <f ca="1">_xlfn.XLOOKUP(D5,PLS!BB77:BB107,PLS!BC77:BC107,0)</f>
        <v>#NAME?</v>
      </c>
      <c r="E9" s="121"/>
      <c r="F9" s="121"/>
      <c r="G9" s="121"/>
      <c r="H9" s="121"/>
      <c r="I9" s="121"/>
    </row>
    <row r="10" spans="1:14" x14ac:dyDescent="0.25">
      <c r="A10" s="121"/>
      <c r="B10" s="121"/>
      <c r="C10" s="161" t="s">
        <v>427</v>
      </c>
      <c r="D10" s="187" t="e">
        <f ca="1">D3-D9</f>
        <v>#NAME?</v>
      </c>
      <c r="E10" s="121"/>
      <c r="F10" s="121"/>
      <c r="G10" s="121"/>
      <c r="H10" s="121"/>
      <c r="I10" s="121"/>
    </row>
    <row r="11" spans="1:14" x14ac:dyDescent="0.25">
      <c r="A11" s="121"/>
      <c r="B11" s="121"/>
      <c r="C11" s="161" t="s">
        <v>428</v>
      </c>
      <c r="D11" s="170" t="e">
        <f ca="1">IF(D3&gt;(10+D9),"Adiantada",IF((PLS!AS91&gt;PLS!AS82),"Cronograma vencido",IF((D9-10)&gt;D3,"Atrasada","Normal")))</f>
        <v>#NAME?</v>
      </c>
      <c r="E11" s="121"/>
      <c r="F11" s="121"/>
      <c r="G11" s="121"/>
      <c r="H11" s="121"/>
      <c r="I11" s="121"/>
    </row>
    <row r="12" spans="1:14" x14ac:dyDescent="0.25">
      <c r="A12" s="121"/>
      <c r="B12" s="121"/>
      <c r="C12" s="161" t="s">
        <v>429</v>
      </c>
      <c r="D12" s="162">
        <f>IFERROR(IF(D5&gt;0,  (D17 - D5)*30+PLS!Y104, (D17- D6 )*30+PLS!Y104),0)</f>
        <v>-150</v>
      </c>
      <c r="E12" s="121"/>
      <c r="F12" s="121"/>
      <c r="G12" s="121"/>
      <c r="H12" s="121"/>
      <c r="I12" s="121"/>
    </row>
    <row r="13" spans="1:14" x14ac:dyDescent="0.25">
      <c r="A13" s="121"/>
      <c r="B13" s="121"/>
      <c r="C13" s="121"/>
      <c r="D13" s="121"/>
      <c r="E13" s="121"/>
      <c r="F13" s="121"/>
      <c r="G13" s="121"/>
      <c r="H13" s="121"/>
      <c r="I13" s="121"/>
    </row>
    <row r="14" spans="1:14" x14ac:dyDescent="0.25">
      <c r="A14" s="121"/>
      <c r="B14" s="121"/>
      <c r="C14" s="161" t="s">
        <v>430</v>
      </c>
      <c r="D14" s="162">
        <f>COUNTIF(Proposta_Constr_Individual!AM145:AM169,"&lt;="&amp;PLS!Y104)</f>
        <v>0</v>
      </c>
      <c r="E14" s="121"/>
      <c r="F14" s="121"/>
      <c r="G14" s="121"/>
      <c r="H14" s="121"/>
      <c r="I14" s="121"/>
    </row>
    <row r="15" spans="1:14" x14ac:dyDescent="0.25">
      <c r="A15" s="121"/>
      <c r="B15" s="121"/>
      <c r="C15" s="161" t="str">
        <f>"% da obra a executar na etapa "&amp;D14&amp;":"</f>
        <v>% da obra a executar na etapa 0:</v>
      </c>
      <c r="D15" s="187" t="e">
        <f ca="1">_xlfn.XLOOKUP(D14,Proposta_Constr_Individual!AK145:AK169,Proposta_Constr_Individual!AM145:AM169,0)</f>
        <v>#NAME?</v>
      </c>
      <c r="E15" s="121"/>
      <c r="F15" s="121"/>
      <c r="G15" s="121"/>
      <c r="H15" s="121"/>
      <c r="I15" s="121"/>
    </row>
    <row r="16" spans="1:14" x14ac:dyDescent="0.25">
      <c r="A16" s="121"/>
      <c r="B16" s="121"/>
      <c r="C16" s="161" t="str">
        <f>"% que falta executar da "&amp;D14&amp;" etapa:"</f>
        <v>% que falta executar da 0 etapa:</v>
      </c>
      <c r="D16" s="187">
        <f>IFERROR(1-(D17-INT(D17)),0)</f>
        <v>1</v>
      </c>
      <c r="E16" s="121"/>
      <c r="F16" s="121"/>
      <c r="G16" s="121"/>
      <c r="H16" s="121"/>
      <c r="I16" s="121"/>
    </row>
    <row r="17" spans="1:9" x14ac:dyDescent="0.25">
      <c r="A17" s="121"/>
      <c r="B17" s="121"/>
      <c r="C17" s="161" t="s">
        <v>431</v>
      </c>
      <c r="D17" s="171">
        <f>IFERROR(D14-1*(PLS!Y104-INDEX(Proposta_Constr_Individual!AM145:AM169,D14))/(INDEX(Proposta_Constr_Individual!AM145:AM169,D14+1)-INDEX(Proposta_Constr_Individual!AM145:AM169,D14)),0)</f>
        <v>0</v>
      </c>
      <c r="E17" s="121"/>
      <c r="F17" s="121"/>
      <c r="G17" s="121"/>
      <c r="H17" s="121"/>
      <c r="I17" s="121"/>
    </row>
    <row r="18" spans="1:9" x14ac:dyDescent="0.25">
      <c r="A18" s="121"/>
      <c r="B18" s="121"/>
      <c r="C18" s="121"/>
      <c r="D18" s="121"/>
      <c r="E18" s="121"/>
      <c r="F18" s="121"/>
      <c r="G18" s="121"/>
      <c r="H18" s="121"/>
      <c r="I18" s="121"/>
    </row>
    <row r="19" spans="1:9" x14ac:dyDescent="0.25">
      <c r="A19" s="121"/>
      <c r="B19" s="121"/>
      <c r="C19" s="121"/>
      <c r="D19" s="121"/>
      <c r="E19" s="121"/>
      <c r="F19" s="121"/>
      <c r="G19" s="121"/>
      <c r="H19" s="121"/>
      <c r="I19" s="121"/>
    </row>
    <row r="20" spans="1:9" x14ac:dyDescent="0.25">
      <c r="A20" s="121"/>
      <c r="B20" s="121"/>
      <c r="C20" s="172" t="s">
        <v>432</v>
      </c>
      <c r="D20" s="121"/>
      <c r="E20" s="121"/>
      <c r="F20" s="121"/>
      <c r="G20" s="173" t="s">
        <v>433</v>
      </c>
      <c r="H20" s="121"/>
      <c r="I20" s="121"/>
    </row>
    <row r="21" spans="1:9" x14ac:dyDescent="0.25">
      <c r="A21" s="121"/>
      <c r="B21" s="174">
        <v>-1</v>
      </c>
      <c r="C21" s="175" t="s">
        <v>434</v>
      </c>
      <c r="D21" s="121"/>
      <c r="E21" s="121"/>
      <c r="F21" s="121"/>
      <c r="G21" s="174">
        <v>-1</v>
      </c>
      <c r="H21" s="175" t="s">
        <v>434</v>
      </c>
      <c r="I21" s="121"/>
    </row>
    <row r="22" spans="1:9" x14ac:dyDescent="0.25">
      <c r="A22" s="121"/>
      <c r="B22" s="174">
        <v>0</v>
      </c>
      <c r="C22" s="175" t="s">
        <v>435</v>
      </c>
      <c r="D22" s="121"/>
      <c r="E22" s="121"/>
      <c r="F22" s="121"/>
      <c r="G22" s="174">
        <v>0</v>
      </c>
      <c r="H22" s="175" t="s">
        <v>435</v>
      </c>
      <c r="I22" s="121"/>
    </row>
    <row r="23" spans="1:9" x14ac:dyDescent="0.25">
      <c r="A23" s="121"/>
      <c r="B23" s="174">
        <v>7.4999999999999997E-2</v>
      </c>
      <c r="C23" s="175" t="s">
        <v>436</v>
      </c>
      <c r="D23" s="121"/>
      <c r="E23" s="121"/>
      <c r="F23" s="121"/>
      <c r="G23" s="174">
        <v>9.0000000000000002E-6</v>
      </c>
      <c r="H23" s="175" t="s">
        <v>436</v>
      </c>
      <c r="I23" s="121"/>
    </row>
    <row r="24" spans="1:9" x14ac:dyDescent="0.25">
      <c r="A24" s="121"/>
      <c r="B24" s="176">
        <v>0.12</v>
      </c>
      <c r="C24" s="175" t="s">
        <v>437</v>
      </c>
      <c r="D24" s="121"/>
      <c r="E24" s="121"/>
      <c r="F24" s="121"/>
      <c r="G24" s="174">
        <v>4.0009000000000003E-2</v>
      </c>
      <c r="H24" s="175" t="s">
        <v>437</v>
      </c>
      <c r="I24" s="121"/>
    </row>
    <row r="25" spans="1:9" x14ac:dyDescent="0.25">
      <c r="A25" s="789" t="s">
        <v>438</v>
      </c>
      <c r="B25" s="789"/>
      <c r="C25" s="175" t="s">
        <v>439</v>
      </c>
      <c r="D25" s="121"/>
      <c r="E25" s="121"/>
      <c r="F25" s="789" t="s">
        <v>438</v>
      </c>
      <c r="G25" s="789"/>
      <c r="H25" s="175" t="s">
        <v>439</v>
      </c>
      <c r="I25" s="121"/>
    </row>
  </sheetData>
  <mergeCells count="2">
    <mergeCell ref="A25:B25"/>
    <mergeCell ref="F25:G25"/>
  </mergeCells>
  <pageMargins left="0.51181102362204722" right="0.51181102362204722" top="0.78740157480314965" bottom="0.78740157480314965" header="0.31496062992125984" footer="0.31496062992125984"/>
  <pageSetup paperSize="9" orientation="portrait" r:id="rId1"/>
  <headerFooter>
    <oddHeader>&amp;L&amp;6Esse arquivo é gratuito e de uso
exclusivo entre CAIXA, seus
representantes legais e clientes. &amp;R&amp;6Esse Documento só tem validade se estiver
assinado pelo Proponente e pelo Responsável
Técnico pela execução da obra devidamente identificados.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7">
    <pageSetUpPr fitToPage="1"/>
  </sheetPr>
  <dimension ref="A1:EZ209"/>
  <sheetViews>
    <sheetView showGridLines="0" view="pageBreakPreview" topLeftCell="F33" zoomScaleNormal="100" zoomScaleSheetLayoutView="100" workbookViewId="0">
      <selection activeCell="AE190" sqref="AE190"/>
    </sheetView>
  </sheetViews>
  <sheetFormatPr defaultColWidth="3.6640625" defaultRowHeight="13.2" x14ac:dyDescent="0.25"/>
  <cols>
    <col min="1" max="4" width="6.6640625" style="8" hidden="1" customWidth="1"/>
    <col min="5" max="5" width="6.6640625" style="9" hidden="1" customWidth="1"/>
    <col min="6" max="6" width="0.88671875" style="12" customWidth="1"/>
    <col min="7" max="49" width="2.33203125" style="12" customWidth="1"/>
    <col min="50" max="50" width="0.88671875" style="12" customWidth="1"/>
    <col min="51" max="51" width="4.6640625" style="12" customWidth="1"/>
    <col min="52" max="52" width="4.6640625" style="11" customWidth="1"/>
    <col min="53" max="53" width="4.6640625" style="11" hidden="1" customWidth="1"/>
    <col min="54" max="54" width="6.5546875" style="11" hidden="1" customWidth="1"/>
    <col min="55" max="61" width="0" style="11" hidden="1" customWidth="1"/>
    <col min="62" max="66" width="3.6640625" style="11"/>
    <col min="67" max="70" width="6.6640625" style="11" customWidth="1"/>
    <col min="71" max="73" width="8.6640625" style="11" customWidth="1"/>
    <col min="74" max="116" width="3.6640625" style="11"/>
    <col min="117" max="168" width="3.6640625" style="12"/>
    <col min="169" max="170" width="3" style="12" customWidth="1"/>
    <col min="171" max="16384" width="3.6640625" style="12"/>
  </cols>
  <sheetData>
    <row r="1" spans="1:156" ht="5.0999999999999996" hidden="1" customHeight="1" x14ac:dyDescent="0.25">
      <c r="F1" s="10" t="s">
        <v>25</v>
      </c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0" t="s">
        <v>38</v>
      </c>
      <c r="BA1" s="83" t="str">
        <f>Lista!A1</f>
        <v>Teto</v>
      </c>
      <c r="BB1" s="83" t="str">
        <f>Lista!B1</f>
        <v>Cobertura</v>
      </c>
      <c r="BC1" s="83" t="str">
        <f>Lista!C1</f>
        <v>Acabamento Externo/Interno</v>
      </c>
      <c r="BD1" s="83" t="str">
        <f>Lista!D1</f>
        <v>Esquadrias Externas/Internas</v>
      </c>
      <c r="BE1" s="83" t="str">
        <f>Lista!F1</f>
        <v>Revestimento Piso Áreas Molhadas</v>
      </c>
      <c r="BF1" s="83" t="str">
        <f>Lista!E1</f>
        <v>Revestimento Parede Áreas Molhadas</v>
      </c>
      <c r="BG1" s="83" t="str">
        <f>Lista!G1</f>
        <v>Revestimento Piso Áreas Secas</v>
      </c>
      <c r="BH1" s="83" t="str">
        <f>Lista!H1</f>
        <v xml:space="preserve">Paredes/Painéis </v>
      </c>
      <c r="BI1" s="83" t="str">
        <f>Lista!I1</f>
        <v>Louças e Metais</v>
      </c>
    </row>
    <row r="2" spans="1:156" s="16" customFormat="1" ht="13.8" x14ac:dyDescent="0.25">
      <c r="A2" s="13" t="s">
        <v>3</v>
      </c>
      <c r="B2" s="14" t="s">
        <v>4</v>
      </c>
      <c r="C2" s="13" t="s">
        <v>5</v>
      </c>
      <c r="D2" s="13" t="s">
        <v>6</v>
      </c>
      <c r="E2" s="13" t="s">
        <v>7</v>
      </c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2"/>
      <c r="AI2" s="3"/>
      <c r="BA2" s="83" t="str">
        <f>Lista!A2</f>
        <v>Telha aparente</v>
      </c>
      <c r="BB2" s="83" t="str">
        <f>Lista!B2</f>
        <v>Telha Metálica c/ Platibanda</v>
      </c>
      <c r="BC2" s="83" t="str">
        <f>Lista!C2</f>
        <v>Sem revestimento</v>
      </c>
      <c r="BD2" s="83" t="str">
        <f>Lista!D2</f>
        <v>Alumínio</v>
      </c>
      <c r="BE2" s="83" t="str">
        <f>Lista!F2</f>
        <v>Cimentado</v>
      </c>
      <c r="BF2" s="83" t="str">
        <f>Lista!E2</f>
        <v>Cimentado</v>
      </c>
      <c r="BG2" s="83" t="str">
        <f>Lista!G2</f>
        <v>Cimentado</v>
      </c>
      <c r="BH2" s="83" t="str">
        <f>Lista!H2</f>
        <v>Alvenaria</v>
      </c>
      <c r="BI2" s="83" t="str">
        <f>Lista!I2</f>
        <v>Linha Popular</v>
      </c>
    </row>
    <row r="3" spans="1:156" s="11" customFormat="1" ht="16.2" x14ac:dyDescent="0.25">
      <c r="A3" s="17"/>
      <c r="B3" s="17"/>
      <c r="C3" s="13"/>
      <c r="D3" s="13"/>
      <c r="E3" s="18"/>
      <c r="F3" s="19"/>
      <c r="G3" s="19"/>
      <c r="H3" s="19"/>
      <c r="I3" s="4"/>
      <c r="J3" s="4"/>
      <c r="K3" s="4"/>
      <c r="L3" s="4"/>
      <c r="M3" s="4"/>
      <c r="N3" s="4"/>
      <c r="O3" s="4"/>
      <c r="P3" s="4"/>
      <c r="Q3" s="4"/>
      <c r="R3" s="19"/>
      <c r="S3" s="19"/>
      <c r="T3" s="600" t="s">
        <v>42</v>
      </c>
      <c r="U3" s="600"/>
      <c r="V3" s="600"/>
      <c r="W3" s="600"/>
      <c r="X3" s="600"/>
      <c r="Y3" s="600"/>
      <c r="Z3" s="600"/>
      <c r="AA3" s="600"/>
      <c r="AB3" s="600"/>
      <c r="AC3" s="600"/>
      <c r="AD3" s="600"/>
      <c r="AE3" s="600"/>
      <c r="AF3" s="600"/>
      <c r="AG3" s="600"/>
      <c r="AH3" s="600"/>
      <c r="AI3" s="600"/>
      <c r="AJ3" s="600"/>
      <c r="AK3" s="600"/>
      <c r="AL3" s="600"/>
      <c r="AM3" s="600"/>
      <c r="AN3" s="600"/>
      <c r="AO3" s="600"/>
      <c r="AP3" s="600"/>
      <c r="AQ3" s="600"/>
      <c r="AR3" s="600"/>
      <c r="AS3" s="600"/>
      <c r="AT3" s="600"/>
      <c r="AU3" s="600"/>
      <c r="AV3" s="19"/>
      <c r="AW3" s="19"/>
      <c r="AX3" s="19"/>
      <c r="BA3" s="83" t="str">
        <f>Lista!A3</f>
        <v>Forro</v>
      </c>
      <c r="BB3" s="83" t="str">
        <f>Lista!B3</f>
        <v>Telha Metálica s/ Platibanda</v>
      </c>
      <c r="BC3" s="83" t="str">
        <f>Lista!C3</f>
        <v>Pintura/Textura/Grafiato</v>
      </c>
      <c r="BD3" s="83" t="str">
        <f>Lista!D3</f>
        <v>Ferro</v>
      </c>
      <c r="BE3" s="83" t="str">
        <f>Lista!F3</f>
        <v>Cerâmica Comercial</v>
      </c>
      <c r="BF3" s="83" t="str">
        <f>Lista!E3</f>
        <v>Cerâmica Comercial</v>
      </c>
      <c r="BG3" s="83" t="str">
        <f>Lista!G3</f>
        <v>Cerâmica Comercial</v>
      </c>
      <c r="BH3" s="83" t="str">
        <f>Lista!H3</f>
        <v>Gesso</v>
      </c>
      <c r="BI3" s="83" t="str">
        <f>Lista!I3</f>
        <v>Linha Média</v>
      </c>
    </row>
    <row r="4" spans="1:156" s="11" customFormat="1" ht="14.4" x14ac:dyDescent="0.25">
      <c r="A4" s="17">
        <v>1</v>
      </c>
      <c r="B4" s="17"/>
      <c r="C4" s="13"/>
      <c r="D4" s="13"/>
      <c r="E4" s="18"/>
      <c r="F4" s="20"/>
      <c r="G4" s="20"/>
      <c r="H4" s="20"/>
      <c r="I4" s="21"/>
      <c r="J4" s="21"/>
      <c r="K4" s="21"/>
      <c r="L4" s="21"/>
      <c r="M4" s="21"/>
      <c r="N4" s="21"/>
      <c r="O4" s="21"/>
      <c r="P4" s="21"/>
      <c r="Q4" s="21"/>
      <c r="R4" s="20"/>
      <c r="S4" s="20"/>
      <c r="T4" s="601" t="s">
        <v>0</v>
      </c>
      <c r="U4" s="601"/>
      <c r="V4" s="601"/>
      <c r="W4" s="601"/>
      <c r="X4" s="601"/>
      <c r="Y4" s="601"/>
      <c r="Z4" s="601"/>
      <c r="AA4" s="601"/>
      <c r="AB4" s="601"/>
      <c r="AC4" s="601"/>
      <c r="AD4" s="601"/>
      <c r="AE4" s="601"/>
      <c r="AF4" s="601"/>
      <c r="AG4" s="601"/>
      <c r="AH4" s="601"/>
      <c r="AI4" s="601"/>
      <c r="AJ4" s="601"/>
      <c r="AK4" s="601"/>
      <c r="AL4" s="601"/>
      <c r="AM4" s="601"/>
      <c r="AN4" s="601"/>
      <c r="AO4" s="601"/>
      <c r="AP4" s="601"/>
      <c r="AQ4" s="601"/>
      <c r="AR4" s="601"/>
      <c r="AS4" s="601"/>
      <c r="AT4" s="601"/>
      <c r="AU4" s="601"/>
      <c r="AV4" s="20"/>
      <c r="AW4" s="20"/>
      <c r="AX4" s="20"/>
      <c r="BA4" s="83" t="str">
        <f>Lista!A4</f>
        <v>Laje</v>
      </c>
      <c r="BB4" s="83" t="str">
        <f>Lista!B4</f>
        <v>Telha de Fibrocimto. c/ Platibanda</v>
      </c>
      <c r="BC4" s="83" t="str">
        <f>Lista!C4</f>
        <v>Pint./Text./Grafto. e det. em Pedra/Cerâmica</v>
      </c>
      <c r="BD4" s="83" t="str">
        <f>Lista!D4</f>
        <v>Vidro Temperado</v>
      </c>
      <c r="BE4" s="83" t="str">
        <f>Lista!F4</f>
        <v>Pedra</v>
      </c>
      <c r="BF4" s="83" t="str">
        <f>Lista!E4</f>
        <v>São Tomé</v>
      </c>
      <c r="BG4" s="83" t="str">
        <f>Lista!G4</f>
        <v>Pedra</v>
      </c>
      <c r="BH4" s="83" t="str">
        <f>Lista!H4</f>
        <v>Madeira</v>
      </c>
      <c r="BI4" s="83" t="str">
        <f>Lista!I4</f>
        <v>Linha Luxo</v>
      </c>
    </row>
    <row r="5" spans="1:156" s="11" customFormat="1" x14ac:dyDescent="0.25">
      <c r="A5" s="17" t="s">
        <v>288</v>
      </c>
      <c r="B5" s="17"/>
      <c r="C5" s="13"/>
      <c r="D5" s="13"/>
      <c r="E5" s="18"/>
      <c r="F5" s="22"/>
      <c r="G5" s="22"/>
      <c r="H5" s="22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02" t="s">
        <v>43</v>
      </c>
      <c r="U5" s="602"/>
      <c r="V5" s="602"/>
      <c r="W5" s="602"/>
      <c r="X5" s="602"/>
      <c r="Y5" s="602"/>
      <c r="Z5" s="602"/>
      <c r="AA5" s="602"/>
      <c r="AB5" s="602"/>
      <c r="AC5" s="602"/>
      <c r="AD5" s="602"/>
      <c r="AE5" s="602"/>
      <c r="AF5" s="602"/>
      <c r="AG5" s="602"/>
      <c r="AH5" s="602"/>
      <c r="AI5" s="602"/>
      <c r="AJ5" s="602"/>
      <c r="AK5" s="602"/>
      <c r="AL5" s="602"/>
      <c r="AM5" s="602"/>
      <c r="AN5" s="602"/>
      <c r="AO5" s="602"/>
      <c r="AP5" s="602"/>
      <c r="AQ5" s="602"/>
      <c r="AR5" s="602"/>
      <c r="AS5" s="602"/>
      <c r="AT5" s="602"/>
      <c r="AU5" s="602"/>
      <c r="BA5" s="83" t="str">
        <f>Lista!A6</f>
        <v>Outros</v>
      </c>
      <c r="BB5" s="83" t="str">
        <f>Lista!B5</f>
        <v>Telha de Fibrocimto. s/ Platibanda</v>
      </c>
      <c r="BC5" s="83" t="str">
        <f>Lista!C5</f>
        <v>Cerâmica/Porcelanato</v>
      </c>
      <c r="BD5" s="83" t="str">
        <f>Lista!D5</f>
        <v>PVC</v>
      </c>
      <c r="BE5" s="83" t="str">
        <f>Lista!F5</f>
        <v>Porcelanato 1ª</v>
      </c>
      <c r="BF5" s="83" t="str">
        <f>Lista!E5</f>
        <v>Emborrachado</v>
      </c>
      <c r="BG5" s="83" t="str">
        <f>Lista!G5</f>
        <v>Vinílico</v>
      </c>
      <c r="BH5" s="83" t="str">
        <f>Lista!H5</f>
        <v>Concreto</v>
      </c>
      <c r="BI5" s="83">
        <f>Lista!I5</f>
        <v>0</v>
      </c>
    </row>
    <row r="6" spans="1:156" s="11" customFormat="1" x14ac:dyDescent="0.25">
      <c r="A6" s="17"/>
      <c r="B6" s="17"/>
      <c r="C6" s="13"/>
      <c r="D6" s="13"/>
      <c r="E6" s="18"/>
      <c r="F6"/>
      <c r="G6" s="23" t="s">
        <v>68</v>
      </c>
      <c r="H6"/>
      <c r="I6"/>
      <c r="J6" s="24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BA6" s="83" t="e">
        <f>Lista!#REF!</f>
        <v>#REF!</v>
      </c>
      <c r="BB6" s="83" t="str">
        <f>Lista!B6</f>
        <v>Telha de Barro/Concreto</v>
      </c>
      <c r="BC6" s="83" t="str">
        <f>Lista!C6</f>
        <v>Tijolo/Blc. Apar. Tratado/Imperm.</v>
      </c>
      <c r="BD6" s="83" t="str">
        <f>Lista!D6</f>
        <v>Madeira</v>
      </c>
      <c r="BE6" s="83" t="str">
        <f>Lista!F6</f>
        <v>Porcelanato 2ª</v>
      </c>
      <c r="BF6" s="83" t="str">
        <f>Lista!E6</f>
        <v>Granita</v>
      </c>
      <c r="BG6" s="83" t="str">
        <f>Lista!G6</f>
        <v>Emborrachado</v>
      </c>
      <c r="BH6" s="83" t="str">
        <f>Lista!H6</f>
        <v>Aço</v>
      </c>
      <c r="BI6" s="83">
        <f>Lista!I6</f>
        <v>0</v>
      </c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</row>
    <row r="7" spans="1:156" s="11" customFormat="1" ht="3.9" customHeight="1" x14ac:dyDescent="0.25">
      <c r="A7" s="17"/>
      <c r="B7" s="17"/>
      <c r="C7" s="13"/>
      <c r="D7" s="13"/>
      <c r="E7" s="18"/>
      <c r="F7"/>
      <c r="G7" s="25"/>
      <c r="H7" s="25"/>
      <c r="I7" s="26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BA7" s="83">
        <f>Lista!A7</f>
        <v>0</v>
      </c>
      <c r="BB7" s="83" t="str">
        <f>Lista!B7</f>
        <v>Laje Impermeabilizada</v>
      </c>
      <c r="BC7" s="83" t="str">
        <f>Lista!C7</f>
        <v>Outros</v>
      </c>
      <c r="BD7" s="83" t="str">
        <f>Lista!D7</f>
        <v>Outros</v>
      </c>
      <c r="BE7" s="83" t="str">
        <f>Lista!F7</f>
        <v>Granito/Mármore</v>
      </c>
      <c r="BF7" s="83" t="str">
        <f>Lista!E7</f>
        <v>Formicado</v>
      </c>
      <c r="BG7" s="83" t="str">
        <f>Lista!G7</f>
        <v>Porcelanato 1ª</v>
      </c>
      <c r="BH7" s="83" t="str">
        <f>Lista!H7</f>
        <v>Outros</v>
      </c>
      <c r="BI7" s="83">
        <f>Lista!I7</f>
        <v>0</v>
      </c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</row>
    <row r="8" spans="1:156" s="11" customFormat="1" x14ac:dyDescent="0.25">
      <c r="A8" s="17"/>
      <c r="B8" s="17"/>
      <c r="C8" s="13"/>
      <c r="D8" s="13"/>
      <c r="E8" s="18"/>
      <c r="F8"/>
      <c r="G8" s="22" t="s">
        <v>37</v>
      </c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BA8" s="83">
        <f>Lista!A8</f>
        <v>0</v>
      </c>
      <c r="BB8" s="83" t="str">
        <f>Lista!B8</f>
        <v>Outros</v>
      </c>
      <c r="BC8" s="83">
        <f>Lista!C8</f>
        <v>0</v>
      </c>
      <c r="BD8" s="83">
        <f>Lista!D8</f>
        <v>0</v>
      </c>
      <c r="BE8" s="83" t="str">
        <f>Lista!F8</f>
        <v>Outros</v>
      </c>
      <c r="BF8" s="83" t="str">
        <f>Lista!E8</f>
        <v>Porcelanato 2ª</v>
      </c>
      <c r="BG8" s="83" t="str">
        <f>Lista!G8</f>
        <v>Porcelanato 2ª</v>
      </c>
      <c r="BH8" s="83">
        <f>Lista!H8</f>
        <v>0</v>
      </c>
      <c r="BI8" s="83">
        <f>Lista!I8</f>
        <v>0</v>
      </c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 s="60"/>
      <c r="CL8" s="60"/>
      <c r="CM8" s="60"/>
      <c r="CN8" s="60"/>
      <c r="CO8" s="60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</row>
    <row r="9" spans="1:156" s="11" customFormat="1" ht="3.9" customHeight="1" x14ac:dyDescent="0.25">
      <c r="A9" s="17"/>
      <c r="B9" s="17"/>
      <c r="C9" s="13"/>
      <c r="D9" s="13"/>
      <c r="E9" s="18"/>
      <c r="F9"/>
      <c r="G9" s="25"/>
      <c r="H9" s="25"/>
      <c r="I9" s="26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BA9" s="83">
        <f>Lista!A9</f>
        <v>0</v>
      </c>
      <c r="BB9" s="83">
        <f>Lista!B9</f>
        <v>0</v>
      </c>
      <c r="BC9" s="83">
        <f>Lista!C9</f>
        <v>0</v>
      </c>
      <c r="BD9" s="83">
        <f>Lista!D9</f>
        <v>0</v>
      </c>
      <c r="BE9" s="83" t="e">
        <f>Lista!#REF!</f>
        <v>#REF!</v>
      </c>
      <c r="BF9" s="83" t="str">
        <f>Lista!E9</f>
        <v>Granito/Mármore 2ª</v>
      </c>
      <c r="BG9" s="83" t="str">
        <f>Lista!G9</f>
        <v>Laminado</v>
      </c>
      <c r="BH9" s="83">
        <f>Lista!H9</f>
        <v>0</v>
      </c>
      <c r="BI9" s="83">
        <f>Lista!I9</f>
        <v>0</v>
      </c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</row>
    <row r="10" spans="1:156" s="11" customFormat="1" ht="12.75" customHeight="1" x14ac:dyDescent="0.25">
      <c r="A10" s="17"/>
      <c r="B10" s="17"/>
      <c r="C10" s="13"/>
      <c r="D10" s="13"/>
      <c r="E10" s="18"/>
      <c r="F10"/>
      <c r="G10" s="590"/>
      <c r="H10" s="591"/>
      <c r="I10" s="592"/>
      <c r="J10"/>
      <c r="K10" s="607"/>
      <c r="L10" s="608"/>
      <c r="M10" s="609"/>
      <c r="N10"/>
      <c r="O10" s="560" t="s">
        <v>50</v>
      </c>
      <c r="P10" s="560"/>
      <c r="Q10" s="560"/>
      <c r="R10" s="560"/>
      <c r="S10" s="560"/>
      <c r="T10" s="560"/>
      <c r="U10" s="560"/>
      <c r="V10" s="560"/>
      <c r="W10" s="560"/>
      <c r="X10" s="560"/>
      <c r="Y10" s="560"/>
      <c r="Z10" s="560"/>
      <c r="AA10" s="560"/>
      <c r="AB10" s="560"/>
      <c r="AC10" s="560"/>
      <c r="AD10" s="560"/>
      <c r="AE10" s="560"/>
      <c r="AF10" s="560"/>
      <c r="AG10" s="560"/>
      <c r="AH10" s="560"/>
      <c r="AI10" s="560"/>
      <c r="AJ10" s="560"/>
      <c r="AK10" s="560"/>
      <c r="AL10" s="560"/>
      <c r="AM10" s="560"/>
      <c r="AN10" s="560"/>
      <c r="AO10" s="560"/>
      <c r="AP10" s="560"/>
      <c r="AQ10" s="560"/>
      <c r="AR10" s="560"/>
      <c r="AS10" s="560"/>
      <c r="AT10" s="560"/>
      <c r="AU10" s="560"/>
      <c r="AV10" s="560"/>
      <c r="AW10" s="560"/>
      <c r="BA10" s="83">
        <f>Lista!A10</f>
        <v>0</v>
      </c>
      <c r="BB10" s="83">
        <f>Lista!B10</f>
        <v>0</v>
      </c>
      <c r="BC10" s="83">
        <f>Lista!C10</f>
        <v>0</v>
      </c>
      <c r="BD10" s="83">
        <f>Lista!D10</f>
        <v>0</v>
      </c>
      <c r="BE10" s="83" t="e">
        <f>Lista!#REF!</f>
        <v>#REF!</v>
      </c>
      <c r="BF10" s="83" t="str">
        <f>Lista!E10</f>
        <v>Pintura/Textura</v>
      </c>
      <c r="BG10" s="83" t="str">
        <f>Lista!G10</f>
        <v>Granito/Mármore</v>
      </c>
      <c r="BH10" s="83">
        <f>Lista!H10</f>
        <v>0</v>
      </c>
      <c r="BI10" s="83">
        <f>Lista!I10</f>
        <v>0</v>
      </c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</row>
    <row r="11" spans="1:156" s="11" customFormat="1" x14ac:dyDescent="0.25">
      <c r="A11" s="17"/>
      <c r="B11" s="17"/>
      <c r="C11" s="13"/>
      <c r="D11" s="13"/>
      <c r="E11" s="18"/>
      <c r="F11"/>
      <c r="G11" s="27"/>
      <c r="H11"/>
      <c r="I11"/>
      <c r="J11" s="24"/>
      <c r="K11"/>
      <c r="L11"/>
      <c r="M11"/>
      <c r="N11"/>
      <c r="O11" s="560"/>
      <c r="P11" s="560"/>
      <c r="Q11" s="560"/>
      <c r="R11" s="560"/>
      <c r="S11" s="560"/>
      <c r="T11" s="560"/>
      <c r="U11" s="560"/>
      <c r="V11" s="560"/>
      <c r="W11" s="560"/>
      <c r="X11" s="560"/>
      <c r="Y11" s="560"/>
      <c r="Z11" s="560"/>
      <c r="AA11" s="560"/>
      <c r="AB11" s="560"/>
      <c r="AC11" s="560"/>
      <c r="AD11" s="560"/>
      <c r="AE11" s="560"/>
      <c r="AF11" s="560"/>
      <c r="AG11" s="560"/>
      <c r="AH11" s="560"/>
      <c r="AI11" s="560"/>
      <c r="AJ11" s="560"/>
      <c r="AK11" s="560"/>
      <c r="AL11" s="560"/>
      <c r="AM11" s="560"/>
      <c r="AN11" s="560"/>
      <c r="AO11" s="560"/>
      <c r="AP11" s="560"/>
      <c r="AQ11" s="560"/>
      <c r="AR11" s="560"/>
      <c r="AS11" s="560"/>
      <c r="AT11" s="560"/>
      <c r="AU11" s="560"/>
      <c r="AV11" s="560"/>
      <c r="AW11" s="560"/>
      <c r="BA11" s="83">
        <f>Lista!A11</f>
        <v>0</v>
      </c>
      <c r="BB11" s="83">
        <f>Lista!B11</f>
        <v>0</v>
      </c>
      <c r="BC11" s="83">
        <f>Lista!C11</f>
        <v>0</v>
      </c>
      <c r="BD11" s="83">
        <f>Lista!D11</f>
        <v>0</v>
      </c>
      <c r="BE11" s="83" t="e">
        <f>Lista!#REF!</f>
        <v>#REF!</v>
      </c>
      <c r="BF11" s="83" t="str">
        <f>Lista!E11</f>
        <v>Grafiato</v>
      </c>
      <c r="BG11" s="83" t="str">
        <f>Lista!G11</f>
        <v>Outros</v>
      </c>
      <c r="BH11" s="83">
        <f>Lista!H11</f>
        <v>0</v>
      </c>
      <c r="BI11" s="83">
        <f>Lista!I11</f>
        <v>0</v>
      </c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</row>
    <row r="12" spans="1:156" s="11" customFormat="1" ht="3.9" customHeight="1" x14ac:dyDescent="0.25">
      <c r="A12" s="17"/>
      <c r="B12" s="17"/>
      <c r="C12" s="13"/>
      <c r="D12" s="13"/>
      <c r="E12" s="18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BA12" s="83">
        <f>Lista!A12</f>
        <v>0</v>
      </c>
      <c r="BB12" s="83">
        <f>Lista!B12</f>
        <v>0</v>
      </c>
      <c r="BC12" s="83">
        <f>Lista!C12</f>
        <v>0</v>
      </c>
      <c r="BD12" s="83">
        <f>Lista!D12</f>
        <v>0</v>
      </c>
      <c r="BE12" s="83" t="e">
        <f>Lista!#REF!</f>
        <v>#REF!</v>
      </c>
      <c r="BF12" s="83" t="str">
        <f>Lista!E12</f>
        <v>Cerâmica Extra</v>
      </c>
      <c r="BG12" s="83">
        <f>Lista!G12</f>
        <v>0</v>
      </c>
      <c r="BH12" s="83">
        <f>Lista!H12</f>
        <v>0</v>
      </c>
      <c r="BI12" s="83">
        <f>Lista!I12</f>
        <v>0</v>
      </c>
    </row>
    <row r="13" spans="1:156" s="11" customFormat="1" ht="12.75" hidden="1" customHeight="1" x14ac:dyDescent="0.25">
      <c r="A13" s="17"/>
      <c r="B13" s="17"/>
      <c r="C13" s="13"/>
      <c r="D13" s="13"/>
      <c r="E13" s="18"/>
      <c r="F13"/>
      <c r="G13" s="561"/>
      <c r="H13" s="562"/>
      <c r="I13" s="563"/>
      <c r="J13" s="28"/>
      <c r="K13" s="561"/>
      <c r="L13" s="562"/>
      <c r="M13" s="563"/>
      <c r="N13"/>
      <c r="O13" s="589"/>
      <c r="P13" s="589"/>
      <c r="Q13" s="589"/>
      <c r="R13" s="589"/>
      <c r="S13" s="589"/>
      <c r="T13" s="589"/>
      <c r="U13" s="589"/>
      <c r="V13" s="589"/>
      <c r="W13" s="589"/>
      <c r="X13" s="589"/>
      <c r="Y13" s="589"/>
      <c r="Z13" s="589"/>
      <c r="AA13" s="589"/>
      <c r="AB13" s="589"/>
      <c r="AC13" s="589"/>
      <c r="AD13" s="589"/>
      <c r="AE13" s="589"/>
      <c r="AF13" s="589"/>
      <c r="AG13" s="589"/>
      <c r="AH13" s="589"/>
      <c r="AI13" s="589"/>
      <c r="AJ13" s="589"/>
      <c r="AK13" s="589"/>
      <c r="AL13" s="589"/>
      <c r="AM13" s="589"/>
      <c r="AN13" s="589"/>
      <c r="AO13" s="589"/>
      <c r="AP13" s="589"/>
      <c r="AQ13" s="589"/>
      <c r="AR13" s="589"/>
      <c r="AS13" s="589"/>
      <c r="AT13" s="589"/>
      <c r="AU13" s="589"/>
      <c r="AV13" s="589"/>
      <c r="AW13" s="589"/>
      <c r="AX13" s="29"/>
      <c r="AY13" s="29"/>
      <c r="AZ13" s="29"/>
      <c r="BA13" s="83"/>
      <c r="BB13" s="83"/>
      <c r="BC13" s="83"/>
      <c r="BD13" s="83"/>
      <c r="BE13" s="83"/>
      <c r="BF13" s="83"/>
      <c r="BG13" s="83"/>
      <c r="BH13" s="83"/>
      <c r="BI13" s="83"/>
      <c r="BJ13" s="29"/>
      <c r="BK13" s="29"/>
      <c r="BL13" s="29"/>
      <c r="BM13" s="29"/>
      <c r="BN13" s="29"/>
      <c r="BO13" s="29"/>
      <c r="BP13" s="29"/>
      <c r="BQ13" s="29"/>
      <c r="BR13" s="29"/>
      <c r="BS13" s="29"/>
      <c r="BT13" s="29"/>
      <c r="BU13" s="29"/>
      <c r="BV13" s="29"/>
      <c r="BW13" s="29"/>
      <c r="BX13" s="29"/>
      <c r="BY13" s="29"/>
      <c r="BZ13" s="29"/>
      <c r="CA13" s="29"/>
      <c r="CB13" s="29"/>
      <c r="CC13" s="29"/>
      <c r="CD13" s="29"/>
      <c r="CE13" s="29"/>
      <c r="CF13" s="29"/>
      <c r="CG13" s="29"/>
      <c r="CH13" s="29"/>
      <c r="CI13" s="29"/>
      <c r="CJ13" s="29"/>
      <c r="CK13" s="29"/>
      <c r="CL13" s="29"/>
      <c r="CM13" s="29"/>
      <c r="CN13" s="29"/>
      <c r="CO13" s="29"/>
      <c r="CP13" s="29"/>
      <c r="CQ13" s="29"/>
      <c r="CR13" s="29"/>
      <c r="CS13" s="29"/>
      <c r="CT13" s="29"/>
      <c r="CU13" s="29"/>
    </row>
    <row r="14" spans="1:156" s="11" customFormat="1" ht="12.75" hidden="1" customHeight="1" x14ac:dyDescent="0.25">
      <c r="A14" s="17"/>
      <c r="B14" s="17"/>
      <c r="C14" s="13"/>
      <c r="D14" s="13"/>
      <c r="E14" s="18"/>
      <c r="F14"/>
      <c r="G14" s="30"/>
      <c r="H14" s="30"/>
      <c r="I14" s="30"/>
      <c r="K14" s="30"/>
      <c r="L14" s="30"/>
      <c r="M14" s="30"/>
      <c r="N14"/>
      <c r="O14" s="589"/>
      <c r="P14" s="589"/>
      <c r="Q14" s="589"/>
      <c r="R14" s="589"/>
      <c r="S14" s="589"/>
      <c r="T14" s="589"/>
      <c r="U14" s="589"/>
      <c r="V14" s="589"/>
      <c r="W14" s="589"/>
      <c r="X14" s="589"/>
      <c r="Y14" s="589"/>
      <c r="Z14" s="589"/>
      <c r="AA14" s="589"/>
      <c r="AB14" s="589"/>
      <c r="AC14" s="589"/>
      <c r="AD14" s="589"/>
      <c r="AE14" s="589"/>
      <c r="AF14" s="589"/>
      <c r="AG14" s="589"/>
      <c r="AH14" s="589"/>
      <c r="AI14" s="589"/>
      <c r="AJ14" s="589"/>
      <c r="AK14" s="589"/>
      <c r="AL14" s="589"/>
      <c r="AM14" s="589"/>
      <c r="AN14" s="589"/>
      <c r="AO14" s="589"/>
      <c r="AP14" s="589"/>
      <c r="AQ14" s="589"/>
      <c r="AR14" s="589"/>
      <c r="AS14" s="589"/>
      <c r="AT14" s="589"/>
      <c r="AU14" s="589"/>
      <c r="AV14" s="589"/>
      <c r="AW14" s="589"/>
      <c r="AX14" s="29"/>
      <c r="AY14" s="29"/>
      <c r="AZ14" s="29"/>
      <c r="BA14" s="83"/>
      <c r="BB14" s="83"/>
      <c r="BC14" s="83"/>
      <c r="BD14" s="83"/>
      <c r="BE14" s="83"/>
      <c r="BF14" s="83"/>
      <c r="BG14" s="83"/>
      <c r="BH14" s="83"/>
      <c r="BI14" s="83"/>
      <c r="BJ14" s="29"/>
      <c r="BK14" s="29"/>
      <c r="BL14" s="29"/>
      <c r="BM14" s="29"/>
      <c r="BN14" s="29"/>
      <c r="BO14" s="29"/>
      <c r="BP14" s="29"/>
      <c r="BQ14" s="29"/>
      <c r="BR14" s="29"/>
      <c r="BS14" s="29"/>
      <c r="BT14" s="29"/>
      <c r="BU14" s="29"/>
      <c r="BV14" s="29"/>
      <c r="BW14" s="29"/>
      <c r="BX14" s="29"/>
      <c r="BY14" s="29"/>
      <c r="BZ14" s="29"/>
      <c r="CA14" s="29"/>
      <c r="CB14" s="29"/>
      <c r="CC14" s="29"/>
      <c r="CD14" s="29"/>
      <c r="CE14" s="29"/>
      <c r="CF14" s="29"/>
      <c r="CG14" s="29"/>
      <c r="CH14" s="29"/>
      <c r="CI14" s="29"/>
      <c r="CJ14" s="29"/>
      <c r="CK14" s="29"/>
      <c r="CL14" s="29"/>
      <c r="CM14" s="29"/>
      <c r="CN14" s="29"/>
      <c r="CO14" s="29"/>
      <c r="CP14" s="29"/>
      <c r="CQ14" s="29"/>
      <c r="CR14" s="29"/>
      <c r="CS14" s="29"/>
      <c r="CT14" s="29"/>
      <c r="CU14" s="29"/>
    </row>
    <row r="15" spans="1:156" s="11" customFormat="1" ht="12.75" hidden="1" customHeight="1" x14ac:dyDescent="0.25">
      <c r="A15" s="17"/>
      <c r="B15" s="17"/>
      <c r="C15" s="13"/>
      <c r="D15" s="13"/>
      <c r="E15" s="18"/>
      <c r="F15"/>
      <c r="N15"/>
      <c r="O15" s="589"/>
      <c r="P15" s="589"/>
      <c r="Q15" s="589"/>
      <c r="R15" s="589"/>
      <c r="S15" s="589"/>
      <c r="T15" s="589"/>
      <c r="U15" s="589"/>
      <c r="V15" s="589"/>
      <c r="W15" s="589"/>
      <c r="X15" s="589"/>
      <c r="Y15" s="589"/>
      <c r="Z15" s="589"/>
      <c r="AA15" s="589"/>
      <c r="AB15" s="589"/>
      <c r="AC15" s="589"/>
      <c r="AD15" s="589"/>
      <c r="AE15" s="589"/>
      <c r="AF15" s="589"/>
      <c r="AG15" s="589"/>
      <c r="AH15" s="589"/>
      <c r="AI15" s="589"/>
      <c r="AJ15" s="589"/>
      <c r="AK15" s="589"/>
      <c r="AL15" s="589"/>
      <c r="AM15" s="589"/>
      <c r="AN15" s="589"/>
      <c r="AO15" s="589"/>
      <c r="AP15" s="589"/>
      <c r="AQ15" s="589"/>
      <c r="AR15" s="589"/>
      <c r="AS15" s="589"/>
      <c r="AT15" s="589"/>
      <c r="AU15" s="589"/>
      <c r="AV15" s="589"/>
      <c r="AW15" s="589"/>
      <c r="AX15" s="29"/>
      <c r="AY15" s="29"/>
      <c r="AZ15" s="29"/>
      <c r="BA15" s="83"/>
      <c r="BB15" s="83"/>
      <c r="BC15" s="83"/>
      <c r="BD15" s="83"/>
      <c r="BE15" s="83"/>
      <c r="BF15" s="83"/>
      <c r="BG15" s="83"/>
      <c r="BH15" s="83"/>
      <c r="BI15" s="83"/>
      <c r="BJ15" s="29"/>
      <c r="BK15" s="29"/>
      <c r="BL15" s="29"/>
      <c r="BM15" s="29"/>
      <c r="BN15" s="29"/>
      <c r="BO15" s="29"/>
      <c r="BP15" s="29"/>
      <c r="BQ15" s="29"/>
      <c r="BR15" s="29"/>
      <c r="BS15" s="29"/>
      <c r="BT15" s="29"/>
      <c r="BU15" s="29"/>
      <c r="BV15" s="29"/>
      <c r="BW15" s="29"/>
      <c r="BX15" s="29"/>
      <c r="BY15" s="29"/>
      <c r="BZ15" s="29"/>
      <c r="CA15" s="29"/>
      <c r="CB15" s="29"/>
      <c r="CC15" s="29"/>
      <c r="CD15" s="29"/>
      <c r="CE15" s="29"/>
      <c r="CF15" s="29"/>
      <c r="CG15" s="29"/>
      <c r="CH15" s="29"/>
      <c r="CI15" s="29"/>
      <c r="CJ15" s="29"/>
      <c r="CK15" s="29"/>
      <c r="CL15" s="29"/>
      <c r="CM15" s="29"/>
      <c r="CN15" s="29"/>
      <c r="CO15" s="29"/>
      <c r="CP15" s="29"/>
      <c r="CQ15" s="29"/>
      <c r="CR15" s="29"/>
      <c r="CS15" s="29"/>
      <c r="CT15" s="29"/>
      <c r="CU15" s="29"/>
    </row>
    <row r="16" spans="1:156" s="11" customFormat="1" hidden="1" x14ac:dyDescent="0.25">
      <c r="A16" s="17"/>
      <c r="B16" s="17"/>
      <c r="C16" s="13"/>
      <c r="D16" s="13"/>
      <c r="E16" s="18"/>
      <c r="F16"/>
      <c r="G16"/>
      <c r="H16"/>
      <c r="I16"/>
      <c r="J16"/>
      <c r="K16"/>
      <c r="L16"/>
      <c r="M16"/>
      <c r="N16"/>
      <c r="O16" s="589"/>
      <c r="P16" s="589"/>
      <c r="Q16" s="589"/>
      <c r="R16" s="589"/>
      <c r="S16" s="589"/>
      <c r="T16" s="589"/>
      <c r="U16" s="589"/>
      <c r="V16" s="589"/>
      <c r="W16" s="589"/>
      <c r="X16" s="589"/>
      <c r="Y16" s="589"/>
      <c r="Z16" s="589"/>
      <c r="AA16" s="589"/>
      <c r="AB16" s="589"/>
      <c r="AC16" s="589"/>
      <c r="AD16" s="589"/>
      <c r="AE16" s="589"/>
      <c r="AF16" s="589"/>
      <c r="AG16" s="589"/>
      <c r="AH16" s="589"/>
      <c r="AI16" s="589"/>
      <c r="AJ16" s="589"/>
      <c r="AK16" s="589"/>
      <c r="AL16" s="589"/>
      <c r="AM16" s="589"/>
      <c r="AN16" s="589"/>
      <c r="AO16" s="589"/>
      <c r="AP16" s="589"/>
      <c r="AQ16" s="589"/>
      <c r="AR16" s="589"/>
      <c r="AS16" s="589"/>
      <c r="AT16" s="589"/>
      <c r="AU16" s="589"/>
      <c r="AV16" s="589"/>
      <c r="AW16" s="589"/>
      <c r="AX16" s="29"/>
      <c r="AY16" s="29"/>
      <c r="AZ16" s="29"/>
      <c r="BA16" s="83"/>
      <c r="BB16" s="83"/>
      <c r="BC16" s="83"/>
      <c r="BD16" s="83"/>
      <c r="BE16" s="83"/>
      <c r="BF16" s="83"/>
      <c r="BG16" s="83"/>
      <c r="BH16" s="83"/>
      <c r="BI16" s="83"/>
      <c r="BJ16" s="29"/>
      <c r="BK16" s="29"/>
      <c r="BL16" s="29"/>
      <c r="BM16" s="29"/>
      <c r="BN16" s="29"/>
      <c r="BO16" s="29"/>
      <c r="BP16" s="29"/>
      <c r="BQ16" s="29"/>
      <c r="BR16" s="29"/>
      <c r="BS16" s="29"/>
      <c r="BT16" s="29"/>
      <c r="BU16" s="29"/>
      <c r="BV16" s="29"/>
      <c r="BW16" s="29"/>
      <c r="BX16" s="29"/>
      <c r="BY16" s="29"/>
      <c r="BZ16" s="29"/>
      <c r="CA16" s="29"/>
      <c r="CB16" s="29"/>
      <c r="CC16" s="29"/>
      <c r="CD16" s="29"/>
      <c r="CE16" s="29"/>
      <c r="CF16" s="29"/>
      <c r="CG16" s="29"/>
      <c r="CH16" s="29"/>
      <c r="CI16" s="29"/>
      <c r="CJ16" s="29"/>
    </row>
    <row r="17" spans="1:116" s="11" customFormat="1" ht="3.9" customHeight="1" x14ac:dyDescent="0.25">
      <c r="A17" s="17"/>
      <c r="B17" s="17"/>
      <c r="C17" s="13"/>
      <c r="D17" s="13"/>
      <c r="E17" s="18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BA17" s="83">
        <f>Lista!A17</f>
        <v>0</v>
      </c>
      <c r="BB17" s="83">
        <f>Lista!B17</f>
        <v>0</v>
      </c>
      <c r="BC17" s="83">
        <f>Lista!C17</f>
        <v>0</v>
      </c>
      <c r="BD17" s="83">
        <f>Lista!D17</f>
        <v>0</v>
      </c>
      <c r="BE17" s="83" t="e">
        <f>Lista!#REF!</f>
        <v>#REF!</v>
      </c>
      <c r="BF17" s="83">
        <f>Lista!F17</f>
        <v>0</v>
      </c>
      <c r="BG17" s="83">
        <f>Lista!G17</f>
        <v>0</v>
      </c>
      <c r="BH17" s="83">
        <f>Lista!H17</f>
        <v>0</v>
      </c>
      <c r="BI17" s="83">
        <f>Lista!I17</f>
        <v>0</v>
      </c>
    </row>
    <row r="18" spans="1:116" s="11" customFormat="1" ht="27.9" customHeight="1" x14ac:dyDescent="0.25">
      <c r="A18" s="17"/>
      <c r="B18" s="17"/>
      <c r="C18" s="13"/>
      <c r="D18" s="13"/>
      <c r="E18" s="18"/>
      <c r="F18"/>
      <c r="G18" s="603" t="s">
        <v>51</v>
      </c>
      <c r="H18" s="604"/>
      <c r="I18" s="604"/>
      <c r="J18" s="604"/>
      <c r="K18" s="604"/>
      <c r="L18" s="604"/>
      <c r="M18" s="604"/>
      <c r="N18" s="604"/>
      <c r="O18" s="604"/>
      <c r="P18" s="604"/>
      <c r="Q18" s="604"/>
      <c r="R18" s="604"/>
      <c r="S18" s="604"/>
      <c r="T18" s="604"/>
      <c r="U18" s="604"/>
      <c r="V18" s="604"/>
      <c r="W18" s="604"/>
      <c r="X18" s="604"/>
      <c r="Y18" s="604"/>
      <c r="Z18" s="604"/>
      <c r="AA18" s="604"/>
      <c r="AB18" s="604"/>
      <c r="AC18" s="604"/>
      <c r="AD18" s="604"/>
      <c r="AE18" s="604"/>
      <c r="AF18" s="604"/>
      <c r="AG18" s="604"/>
      <c r="AH18" s="604"/>
      <c r="AI18" s="604"/>
      <c r="AJ18" s="604"/>
      <c r="AK18" s="604"/>
      <c r="AL18" s="604"/>
      <c r="AM18" s="604"/>
      <c r="AN18" s="604"/>
      <c r="AO18" s="604"/>
      <c r="AP18" s="604"/>
      <c r="AQ18" s="604"/>
      <c r="AR18" s="604"/>
      <c r="AS18" s="604"/>
      <c r="AT18" s="604"/>
      <c r="AU18" s="604"/>
      <c r="AV18" s="604"/>
      <c r="AW18" s="605"/>
      <c r="BA18" s="83">
        <f>Lista!A18</f>
        <v>0</v>
      </c>
      <c r="BB18" s="83">
        <f>Lista!B18</f>
        <v>0</v>
      </c>
      <c r="BC18" s="83">
        <f>Lista!C18</f>
        <v>0</v>
      </c>
      <c r="BD18" s="83">
        <f>Lista!D18</f>
        <v>0</v>
      </c>
      <c r="BE18" s="83" t="e">
        <f>Lista!#REF!</f>
        <v>#REF!</v>
      </c>
      <c r="BF18" s="83">
        <f>Lista!F18</f>
        <v>0</v>
      </c>
      <c r="BG18" s="83">
        <f>Lista!G18</f>
        <v>0</v>
      </c>
      <c r="BH18" s="83">
        <f>Lista!H18</f>
        <v>0</v>
      </c>
      <c r="BI18" s="83">
        <f>Lista!I18</f>
        <v>0</v>
      </c>
    </row>
    <row r="19" spans="1:116" s="11" customFormat="1" ht="3.9" customHeight="1" x14ac:dyDescent="0.25">
      <c r="A19" s="17"/>
      <c r="B19" s="17"/>
      <c r="C19" s="13"/>
      <c r="D19" s="13"/>
      <c r="E19" s="18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BA19" s="84"/>
      <c r="BB19" s="84"/>
      <c r="BC19" s="85"/>
      <c r="BD19" s="85"/>
      <c r="BE19" s="85"/>
      <c r="BF19" s="85"/>
      <c r="BG19" s="85"/>
      <c r="BH19" s="85"/>
      <c r="BI19" s="85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</row>
    <row r="20" spans="1:116" s="11" customFormat="1" ht="12.75" customHeight="1" x14ac:dyDescent="0.25">
      <c r="A20" s="17"/>
      <c r="B20" s="17"/>
      <c r="C20" s="13"/>
      <c r="D20" s="13"/>
      <c r="E20" s="18"/>
      <c r="F20"/>
      <c r="G20" s="606" t="s">
        <v>280</v>
      </c>
      <c r="H20" s="606"/>
      <c r="I20" s="606"/>
      <c r="J20" s="606"/>
      <c r="K20" s="606"/>
      <c r="L20" s="606"/>
      <c r="M20" s="606"/>
      <c r="N20" s="606"/>
      <c r="O20" s="606"/>
      <c r="P20" s="606"/>
      <c r="Q20" s="606"/>
      <c r="R20" s="606"/>
      <c r="S20" s="606"/>
      <c r="T20" s="606"/>
      <c r="U20" s="606"/>
      <c r="V20" s="606"/>
      <c r="W20" s="606"/>
      <c r="X20" s="606"/>
      <c r="Y20" s="606"/>
      <c r="Z20" s="606"/>
      <c r="AA20" s="606"/>
      <c r="AB20" s="606"/>
      <c r="AC20" s="606"/>
      <c r="AD20" s="606"/>
      <c r="AE20" s="606"/>
      <c r="AF20" s="606"/>
      <c r="AG20" s="606"/>
      <c r="AH20" s="606"/>
      <c r="AI20" s="606"/>
      <c r="AJ20" s="606"/>
      <c r="AK20" s="606"/>
      <c r="AL20" s="606"/>
      <c r="AM20" s="606"/>
      <c r="AN20" s="606"/>
      <c r="AO20" s="606"/>
      <c r="AP20" s="606"/>
      <c r="AQ20" s="606"/>
      <c r="AR20" s="606"/>
      <c r="AS20" s="606"/>
      <c r="AT20" s="606"/>
      <c r="AU20" s="606"/>
      <c r="AV20" s="606"/>
      <c r="AW20" s="606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</row>
    <row r="21" spans="1:116" s="11" customFormat="1" ht="3.9" customHeight="1" x14ac:dyDescent="0.25">
      <c r="A21" s="17"/>
      <c r="B21" s="17"/>
      <c r="C21" s="13"/>
      <c r="D21" s="13"/>
      <c r="E21" s="18"/>
      <c r="F21"/>
      <c r="G21" s="12"/>
      <c r="H21" s="12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</row>
    <row r="22" spans="1:116" customFormat="1" ht="12" customHeight="1" x14ac:dyDescent="0.25">
      <c r="A22" s="31"/>
      <c r="G22" s="564">
        <v>1</v>
      </c>
      <c r="H22" s="565"/>
      <c r="I22" s="566"/>
      <c r="K22" s="570" t="s">
        <v>2</v>
      </c>
      <c r="L22" s="587"/>
      <c r="M22" s="587"/>
      <c r="N22" s="587"/>
      <c r="O22" s="587"/>
      <c r="P22" s="587"/>
      <c r="Q22" s="587"/>
      <c r="R22" s="587"/>
      <c r="S22" s="587"/>
      <c r="T22" s="587"/>
      <c r="U22" s="587"/>
      <c r="V22" s="587"/>
      <c r="W22" s="587"/>
      <c r="X22" s="587"/>
      <c r="Y22" s="587"/>
      <c r="Z22" s="587"/>
      <c r="AA22" s="587"/>
      <c r="AB22" s="587"/>
      <c r="AC22" s="587"/>
      <c r="AD22" s="587"/>
      <c r="AE22" s="587"/>
      <c r="AF22" s="587"/>
      <c r="AG22" s="587"/>
      <c r="AH22" s="587"/>
      <c r="AI22" s="587"/>
      <c r="AJ22" s="587"/>
      <c r="AK22" s="587"/>
      <c r="AL22" s="587"/>
      <c r="AM22" s="587"/>
      <c r="AN22" s="587"/>
      <c r="AO22" s="587"/>
      <c r="AP22" s="587"/>
      <c r="AQ22" s="587"/>
      <c r="AR22" s="587"/>
      <c r="AS22" s="587"/>
      <c r="AT22" s="587"/>
      <c r="AU22" s="587"/>
      <c r="AV22" s="587"/>
      <c r="AW22" s="588"/>
    </row>
    <row r="23" spans="1:116" customFormat="1" ht="3.9" customHeight="1" x14ac:dyDescent="0.25">
      <c r="A23" s="31"/>
      <c r="G23" s="25"/>
      <c r="H23" s="25"/>
      <c r="I23" s="26"/>
    </row>
    <row r="24" spans="1:116" customFormat="1" ht="42" customHeight="1" x14ac:dyDescent="0.25">
      <c r="A24" s="31"/>
      <c r="E24" s="32"/>
      <c r="G24" s="564" t="s">
        <v>1</v>
      </c>
      <c r="H24" s="565"/>
      <c r="I24" s="566"/>
      <c r="K24" s="567" t="s">
        <v>486</v>
      </c>
      <c r="L24" s="568"/>
      <c r="M24" s="568"/>
      <c r="N24" s="568"/>
      <c r="O24" s="568"/>
      <c r="P24" s="568"/>
      <c r="Q24" s="568"/>
      <c r="R24" s="568"/>
      <c r="S24" s="568"/>
      <c r="T24" s="568"/>
      <c r="U24" s="568"/>
      <c r="V24" s="568"/>
      <c r="W24" s="568"/>
      <c r="X24" s="568"/>
      <c r="Y24" s="568"/>
      <c r="Z24" s="568"/>
      <c r="AA24" s="568"/>
      <c r="AB24" s="568"/>
      <c r="AC24" s="568"/>
      <c r="AD24" s="568"/>
      <c r="AE24" s="568"/>
      <c r="AF24" s="568"/>
      <c r="AG24" s="568"/>
      <c r="AH24" s="568"/>
      <c r="AI24" s="568"/>
      <c r="AJ24" s="568"/>
      <c r="AK24" s="568"/>
      <c r="AL24" s="568"/>
      <c r="AM24" s="568"/>
      <c r="AN24" s="568"/>
      <c r="AO24" s="568"/>
      <c r="AP24" s="568"/>
      <c r="AQ24" s="568"/>
      <c r="AR24" s="568"/>
      <c r="AS24" s="568"/>
      <c r="AT24" s="568"/>
      <c r="AU24" s="568"/>
      <c r="AV24" s="568"/>
      <c r="AW24" s="569"/>
    </row>
    <row r="25" spans="1:116" customFormat="1" ht="14.4" customHeight="1" x14ac:dyDescent="0.25">
      <c r="A25" s="31"/>
      <c r="E25" s="32"/>
      <c r="G25" s="564" t="s">
        <v>40</v>
      </c>
      <c r="H25" s="565"/>
      <c r="I25" s="566"/>
      <c r="K25" s="567" t="s">
        <v>52</v>
      </c>
      <c r="L25" s="568"/>
      <c r="M25" s="568"/>
      <c r="N25" s="568"/>
      <c r="O25" s="568"/>
      <c r="P25" s="568"/>
      <c r="Q25" s="568"/>
      <c r="R25" s="568"/>
      <c r="S25" s="568"/>
      <c r="T25" s="568"/>
      <c r="U25" s="568"/>
      <c r="V25" s="568"/>
      <c r="W25" s="568"/>
      <c r="X25" s="568"/>
      <c r="Y25" s="568"/>
      <c r="Z25" s="568"/>
      <c r="AA25" s="568"/>
      <c r="AB25" s="568"/>
      <c r="AC25" s="568"/>
      <c r="AD25" s="568"/>
      <c r="AE25" s="568"/>
      <c r="AF25" s="568"/>
      <c r="AG25" s="568"/>
      <c r="AH25" s="568"/>
      <c r="AI25" s="568"/>
      <c r="AJ25" s="568"/>
      <c r="AK25" s="568"/>
      <c r="AL25" s="568"/>
      <c r="AM25" s="568"/>
      <c r="AN25" s="568"/>
      <c r="AO25" s="568"/>
      <c r="AP25" s="568"/>
      <c r="AQ25" s="568"/>
      <c r="AR25" s="568"/>
      <c r="AS25" s="568"/>
      <c r="AT25" s="568"/>
      <c r="AU25" s="568"/>
      <c r="AV25" s="568"/>
      <c r="AW25" s="569"/>
    </row>
    <row r="26" spans="1:116" s="11" customFormat="1" ht="34.200000000000003" customHeight="1" x14ac:dyDescent="0.25">
      <c r="A26" s="17"/>
      <c r="B26" s="17"/>
      <c r="C26" s="13"/>
      <c r="D26" s="13"/>
      <c r="E26" s="18"/>
      <c r="F26"/>
      <c r="G26" s="564" t="s">
        <v>41</v>
      </c>
      <c r="H26" s="565"/>
      <c r="I26" s="566"/>
      <c r="J26" s="32"/>
      <c r="K26" s="567" t="s">
        <v>487</v>
      </c>
      <c r="L26" s="568"/>
      <c r="M26" s="568"/>
      <c r="N26" s="568"/>
      <c r="O26" s="568"/>
      <c r="P26" s="568"/>
      <c r="Q26" s="568"/>
      <c r="R26" s="568"/>
      <c r="S26" s="568"/>
      <c r="T26" s="568"/>
      <c r="U26" s="568"/>
      <c r="V26" s="568"/>
      <c r="W26" s="568"/>
      <c r="X26" s="568"/>
      <c r="Y26" s="568"/>
      <c r="Z26" s="568"/>
      <c r="AA26" s="568"/>
      <c r="AB26" s="568"/>
      <c r="AC26" s="568"/>
      <c r="AD26" s="568"/>
      <c r="AE26" s="568"/>
      <c r="AF26" s="568"/>
      <c r="AG26" s="568"/>
      <c r="AH26" s="568"/>
      <c r="AI26" s="568"/>
      <c r="AJ26" s="568"/>
      <c r="AK26" s="568"/>
      <c r="AL26" s="568"/>
      <c r="AM26" s="568"/>
      <c r="AN26" s="568"/>
      <c r="AO26" s="568"/>
      <c r="AP26" s="568"/>
      <c r="AQ26" s="568"/>
      <c r="AR26" s="568"/>
      <c r="AS26" s="568"/>
      <c r="AT26" s="568"/>
      <c r="AU26" s="568"/>
      <c r="AV26" s="568"/>
      <c r="AW26" s="569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</row>
    <row r="27" spans="1:116" ht="27.6" customHeight="1" x14ac:dyDescent="0.25">
      <c r="A27" s="31"/>
      <c r="B27"/>
      <c r="C27"/>
      <c r="D27"/>
      <c r="E27" s="32"/>
      <c r="F27"/>
      <c r="G27" s="564" t="s">
        <v>44</v>
      </c>
      <c r="H27" s="565"/>
      <c r="I27" s="566"/>
      <c r="J27"/>
      <c r="K27" s="567" t="s">
        <v>466</v>
      </c>
      <c r="L27" s="568"/>
      <c r="M27" s="568"/>
      <c r="N27" s="568"/>
      <c r="O27" s="568"/>
      <c r="P27" s="568"/>
      <c r="Q27" s="568"/>
      <c r="R27" s="568"/>
      <c r="S27" s="568"/>
      <c r="T27" s="568"/>
      <c r="U27" s="568"/>
      <c r="V27" s="568"/>
      <c r="W27" s="568"/>
      <c r="X27" s="568"/>
      <c r="Y27" s="568"/>
      <c r="Z27" s="568"/>
      <c r="AA27" s="568"/>
      <c r="AB27" s="568"/>
      <c r="AC27" s="568"/>
      <c r="AD27" s="568"/>
      <c r="AE27" s="568"/>
      <c r="AF27" s="568"/>
      <c r="AG27" s="568"/>
      <c r="AH27" s="568"/>
      <c r="AI27" s="568"/>
      <c r="AJ27" s="568"/>
      <c r="AK27" s="568"/>
      <c r="AL27" s="568"/>
      <c r="AM27" s="568"/>
      <c r="AN27" s="568"/>
      <c r="AO27" s="568"/>
      <c r="AP27" s="568"/>
      <c r="AQ27" s="568"/>
      <c r="AR27" s="568"/>
      <c r="AS27" s="568"/>
      <c r="AT27" s="568"/>
      <c r="AU27" s="568"/>
      <c r="AV27" s="568"/>
      <c r="AW27" s="569"/>
      <c r="AX27"/>
      <c r="AY27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DK27" s="12"/>
      <c r="DL27" s="12"/>
    </row>
    <row r="28" spans="1:116" ht="15.6" customHeight="1" x14ac:dyDescent="0.25">
      <c r="A28" s="31"/>
      <c r="B28"/>
      <c r="C28"/>
      <c r="D28"/>
      <c r="E28" s="32"/>
      <c r="F28"/>
      <c r="G28" s="564" t="s">
        <v>45</v>
      </c>
      <c r="H28" s="565"/>
      <c r="I28" s="566"/>
      <c r="J28"/>
      <c r="K28" s="567" t="s">
        <v>54</v>
      </c>
      <c r="L28" s="568"/>
      <c r="M28" s="568"/>
      <c r="N28" s="568"/>
      <c r="O28" s="568"/>
      <c r="P28" s="568"/>
      <c r="Q28" s="568"/>
      <c r="R28" s="568"/>
      <c r="S28" s="568"/>
      <c r="T28" s="568"/>
      <c r="U28" s="568"/>
      <c r="V28" s="568"/>
      <c r="W28" s="568"/>
      <c r="X28" s="568"/>
      <c r="Y28" s="568"/>
      <c r="Z28" s="568"/>
      <c r="AA28" s="568"/>
      <c r="AB28" s="568"/>
      <c r="AC28" s="568"/>
      <c r="AD28" s="568"/>
      <c r="AE28" s="568"/>
      <c r="AF28" s="568"/>
      <c r="AG28" s="568"/>
      <c r="AH28" s="568"/>
      <c r="AI28" s="568"/>
      <c r="AJ28" s="568"/>
      <c r="AK28" s="568"/>
      <c r="AL28" s="568"/>
      <c r="AM28" s="568"/>
      <c r="AN28" s="568"/>
      <c r="AO28" s="568"/>
      <c r="AP28" s="568"/>
      <c r="AQ28" s="568"/>
      <c r="AR28" s="568"/>
      <c r="AS28" s="568"/>
      <c r="AT28" s="568"/>
      <c r="AU28" s="568"/>
      <c r="AV28" s="568"/>
      <c r="AW28" s="569"/>
      <c r="AX28"/>
      <c r="AY28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DK28" s="12"/>
      <c r="DL28" s="12"/>
    </row>
    <row r="29" spans="1:116" customFormat="1" ht="12" hidden="1" customHeight="1" x14ac:dyDescent="0.25">
      <c r="A29" s="31"/>
      <c r="E29" s="32"/>
      <c r="G29" s="564" t="s">
        <v>53</v>
      </c>
      <c r="H29" s="565"/>
      <c r="I29" s="566"/>
      <c r="K29" s="567" t="s">
        <v>54</v>
      </c>
      <c r="L29" s="568"/>
      <c r="M29" s="568"/>
      <c r="N29" s="568"/>
      <c r="O29" s="568"/>
      <c r="P29" s="568"/>
      <c r="Q29" s="568"/>
      <c r="R29" s="568"/>
      <c r="S29" s="568"/>
      <c r="T29" s="568"/>
      <c r="U29" s="568"/>
      <c r="V29" s="568"/>
      <c r="W29" s="568"/>
      <c r="X29" s="568"/>
      <c r="Y29" s="568"/>
      <c r="Z29" s="568"/>
      <c r="AA29" s="568"/>
      <c r="AB29" s="568"/>
      <c r="AC29" s="568"/>
      <c r="AD29" s="568"/>
      <c r="AE29" s="568"/>
      <c r="AF29" s="568"/>
      <c r="AG29" s="568"/>
      <c r="AH29" s="568"/>
      <c r="AI29" s="568"/>
      <c r="AJ29" s="568"/>
      <c r="AK29" s="568"/>
      <c r="AL29" s="568"/>
      <c r="AM29" s="568"/>
      <c r="AN29" s="568"/>
      <c r="AO29" s="568"/>
      <c r="AP29" s="568"/>
      <c r="AQ29" s="568"/>
      <c r="AR29" s="568"/>
      <c r="AS29" s="568"/>
      <c r="AT29" s="568"/>
      <c r="AU29" s="568"/>
      <c r="AV29" s="568"/>
      <c r="AW29" s="569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</row>
    <row r="30" spans="1:116" s="11" customFormat="1" ht="3.9" customHeight="1" x14ac:dyDescent="0.25">
      <c r="A30" s="17"/>
      <c r="B30" s="17"/>
      <c r="C30" s="13"/>
      <c r="D30" s="13"/>
      <c r="E30" s="18"/>
      <c r="F30"/>
      <c r="G30" s="12"/>
      <c r="H30" s="12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 s="63"/>
      <c r="BB30" s="63"/>
      <c r="BC30" s="63"/>
      <c r="BD30" s="63"/>
      <c r="BE30" s="63"/>
      <c r="BF30" s="63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63"/>
      <c r="BS30" s="63"/>
      <c r="BT30" s="63"/>
      <c r="BU30" s="63"/>
      <c r="BV30" s="63"/>
      <c r="BW30" s="63"/>
      <c r="BX30" s="63"/>
      <c r="BY30" s="63"/>
      <c r="BZ30" s="63"/>
      <c r="CA30" s="63"/>
      <c r="CB30" s="63"/>
      <c r="CC30" s="63"/>
      <c r="CD30" s="63"/>
      <c r="CE30" s="63"/>
      <c r="CF30" s="63"/>
      <c r="CG30" s="63"/>
      <c r="CH30" s="63"/>
      <c r="CI30" s="63"/>
      <c r="CJ30" s="63"/>
      <c r="CK30" s="63"/>
      <c r="CL30" s="63"/>
      <c r="CM30" s="63"/>
      <c r="CN30" s="63"/>
      <c r="CO30" s="63"/>
    </row>
    <row r="31" spans="1:116" ht="3.9" customHeight="1" x14ac:dyDescent="0.25">
      <c r="A31" s="8" t="e">
        <f>MATCH("mtde",E:E,0)</f>
        <v>#N/A</v>
      </c>
      <c r="B31" s="8">
        <f>MATCH("endfim2",E:E,0)</f>
        <v>54</v>
      </c>
      <c r="E31" s="33"/>
      <c r="G31" s="34"/>
      <c r="H31" s="35"/>
      <c r="J31" s="35"/>
      <c r="K31" s="35"/>
      <c r="L31" s="35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5"/>
      <c r="AC31" s="35"/>
      <c r="AD31" s="35"/>
      <c r="AE31" s="35"/>
      <c r="AF31" s="35"/>
      <c r="AG31" s="35"/>
      <c r="AH31" s="35"/>
      <c r="AI31" s="36"/>
      <c r="AJ31" s="15"/>
    </row>
    <row r="32" spans="1:116" ht="9.9" customHeight="1" x14ac:dyDescent="0.25">
      <c r="A32" s="7" t="s">
        <v>3</v>
      </c>
      <c r="B32" s="8" t="s">
        <v>4</v>
      </c>
      <c r="C32" s="7" t="s">
        <v>5</v>
      </c>
      <c r="D32" s="7" t="s">
        <v>6</v>
      </c>
      <c r="E32" s="9" t="s">
        <v>7</v>
      </c>
      <c r="F32" s="37"/>
      <c r="G32" s="37"/>
      <c r="H32" s="37"/>
      <c r="I32" s="37"/>
      <c r="J32" s="37"/>
      <c r="K32" s="37"/>
      <c r="L32" s="37"/>
      <c r="M32" s="37"/>
      <c r="N32" s="37"/>
      <c r="O32" s="37"/>
      <c r="P32" s="37"/>
      <c r="Q32" s="37"/>
      <c r="R32" s="37"/>
      <c r="S32" s="739" t="s">
        <v>56</v>
      </c>
      <c r="T32" s="740"/>
      <c r="U32" s="212" t="s">
        <v>57</v>
      </c>
      <c r="V32" s="213"/>
      <c r="W32" s="213"/>
      <c r="X32" s="213"/>
      <c r="Y32" s="213"/>
      <c r="Z32" s="741"/>
      <c r="AA32" s="37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610" t="s">
        <v>8</v>
      </c>
      <c r="AQ32" s="611"/>
      <c r="AR32" s="611"/>
      <c r="AS32" s="611"/>
      <c r="AT32" s="611"/>
      <c r="AU32" s="611"/>
      <c r="AV32" s="611"/>
      <c r="AW32" s="612"/>
      <c r="AX32" s="43"/>
    </row>
    <row r="33" spans="2:122" ht="9.9" customHeight="1" x14ac:dyDescent="0.25">
      <c r="B33" s="8" t="e">
        <f>MATCH(MAX(C35:C169),C35:C169,0)+5</f>
        <v>#N/A</v>
      </c>
      <c r="C33" s="8" t="e">
        <f>MATCH("D",D35:D169,0)+5</f>
        <v>#N/A</v>
      </c>
      <c r="D33" s="8" t="e">
        <f>MAX(C35:C0)</f>
        <v>#NAME?</v>
      </c>
      <c r="E33" s="38"/>
      <c r="F33" s="39"/>
      <c r="G33" s="39"/>
      <c r="H33" s="39"/>
      <c r="I33" s="39"/>
      <c r="J33" s="39"/>
      <c r="K33" s="39"/>
      <c r="L33" s="39"/>
      <c r="M33" s="39"/>
      <c r="N33" s="39"/>
      <c r="O33" s="39"/>
      <c r="P33" s="39"/>
      <c r="Q33" s="39"/>
      <c r="R33" s="39"/>
      <c r="S33" s="736"/>
      <c r="T33" s="737"/>
      <c r="U33" s="737"/>
      <c r="V33" s="737"/>
      <c r="W33" s="737"/>
      <c r="X33" s="737"/>
      <c r="Y33" s="737"/>
      <c r="Z33" s="738"/>
      <c r="AA33" s="39"/>
      <c r="AB33" s="40"/>
      <c r="AC33" s="40"/>
      <c r="AD33" s="40"/>
      <c r="AE33" s="40"/>
      <c r="AF33" s="40"/>
      <c r="AG33" s="40"/>
      <c r="AH33" s="40"/>
      <c r="AI33" s="40"/>
      <c r="AJ33" s="40"/>
      <c r="AK33" s="40"/>
      <c r="AL33" s="40"/>
      <c r="AM33" s="40"/>
      <c r="AN33" s="40"/>
      <c r="AO33" s="40"/>
      <c r="AP33" s="614" t="str">
        <f>IF(P_Ini="","#PÚBLICO","#EXTERNO.CONFIDENCIAL")</f>
        <v>#PÚBLICO</v>
      </c>
      <c r="AQ33" s="615"/>
      <c r="AR33" s="615"/>
      <c r="AS33" s="615"/>
      <c r="AT33" s="615"/>
      <c r="AU33" s="615"/>
      <c r="AV33" s="615"/>
      <c r="AW33" s="616"/>
      <c r="AX33" s="45"/>
      <c r="BJ33" s="5"/>
      <c r="BK33" s="5"/>
      <c r="BL33" s="5"/>
      <c r="BM33" s="5"/>
      <c r="BN33" s="5"/>
      <c r="BO33" s="5"/>
    </row>
    <row r="34" spans="2:122" ht="3.9" customHeight="1" x14ac:dyDescent="0.25"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36"/>
      <c r="T34" s="36"/>
      <c r="U34" s="36"/>
      <c r="V34" s="36"/>
      <c r="W34" s="36"/>
      <c r="X34" s="36"/>
      <c r="Y34" s="36"/>
      <c r="Z34" s="36"/>
      <c r="AA34" s="36"/>
      <c r="AB34" s="89"/>
      <c r="AC34" s="89"/>
      <c r="AD34" s="89"/>
      <c r="AE34" s="89"/>
      <c r="AF34" s="89"/>
      <c r="AG34" s="89"/>
      <c r="AH34" s="89"/>
      <c r="AI34" s="89"/>
      <c r="AJ34" s="90"/>
      <c r="AK34" s="91"/>
      <c r="AL34" s="91"/>
      <c r="AM34" s="91"/>
      <c r="AN34" s="91"/>
      <c r="BJ34" s="5"/>
      <c r="BK34" s="5"/>
      <c r="BL34" s="5"/>
      <c r="BM34" s="5"/>
      <c r="BN34" s="5"/>
      <c r="BO34" s="5"/>
    </row>
    <row r="35" spans="2:122" ht="12" customHeight="1" x14ac:dyDescent="0.25"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613" t="s">
        <v>286</v>
      </c>
      <c r="V35" s="613"/>
      <c r="W35" s="613"/>
      <c r="X35" s="613"/>
      <c r="Y35" s="613"/>
      <c r="Z35" s="613"/>
      <c r="AA35" s="613"/>
      <c r="AB35" s="613"/>
      <c r="AC35" s="613"/>
      <c r="AD35" s="613"/>
      <c r="AE35" s="613"/>
      <c r="AF35" s="613"/>
      <c r="AG35" s="613"/>
      <c r="AH35" s="613"/>
      <c r="AI35" s="613"/>
      <c r="AJ35" s="613"/>
      <c r="AK35" s="613"/>
      <c r="AL35" s="613"/>
      <c r="AM35" s="613"/>
      <c r="AN35" s="613"/>
      <c r="AO35" s="613"/>
      <c r="AP35" s="613"/>
      <c r="AQ35" s="613"/>
      <c r="AR35" s="613"/>
      <c r="AS35" s="613"/>
      <c r="AT35" s="613"/>
      <c r="AU35" s="613"/>
      <c r="AV35" s="613"/>
      <c r="AW35" s="43"/>
      <c r="AX35" s="43"/>
      <c r="BA35" s="82"/>
      <c r="BB35" s="82"/>
      <c r="BC35" s="82"/>
      <c r="BD35" s="82"/>
      <c r="BE35" s="82"/>
      <c r="BF35" s="82"/>
      <c r="BG35" s="82"/>
      <c r="BH35" s="82"/>
      <c r="BI35" s="82"/>
      <c r="BJ35" s="5"/>
      <c r="BK35" s="5"/>
      <c r="BL35" s="5"/>
      <c r="BM35" s="5"/>
      <c r="BN35" s="5"/>
      <c r="BO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82"/>
      <c r="CK35" s="82"/>
      <c r="CL35" s="82"/>
      <c r="CM35" s="82"/>
      <c r="CN35" s="82"/>
      <c r="CO35" s="82"/>
      <c r="CP35" s="82"/>
      <c r="CQ35" s="82"/>
      <c r="CR35" s="82"/>
      <c r="CS35" s="82"/>
      <c r="CT35" s="82"/>
      <c r="CU35" s="82"/>
      <c r="CV35" s="82"/>
      <c r="CW35" s="82"/>
      <c r="CX35" s="82"/>
      <c r="CY35" s="82"/>
      <c r="CZ35" s="82"/>
      <c r="DA35" s="82"/>
      <c r="DB35" s="82"/>
      <c r="DC35" s="82"/>
      <c r="DD35" s="82"/>
      <c r="DE35" s="82"/>
      <c r="DF35" s="82"/>
      <c r="DG35" s="82"/>
      <c r="DH35" s="82"/>
    </row>
    <row r="36" spans="2:122" ht="9.9" customHeight="1" x14ac:dyDescent="0.25">
      <c r="F36" s="44"/>
      <c r="G36" s="44"/>
      <c r="H36" s="44"/>
      <c r="I36" s="44"/>
      <c r="J36" s="44"/>
      <c r="K36" s="44"/>
      <c r="L36" s="44"/>
      <c r="M36" s="44"/>
      <c r="N36" s="44"/>
      <c r="O36" s="44"/>
      <c r="P36" s="44"/>
      <c r="Q36" s="44"/>
      <c r="R36" s="44"/>
      <c r="S36" s="20"/>
      <c r="T36" s="20"/>
      <c r="U36" s="618" t="s">
        <v>467</v>
      </c>
      <c r="V36" s="618"/>
      <c r="W36" s="618"/>
      <c r="X36" s="618"/>
      <c r="Y36" s="618"/>
      <c r="Z36" s="618"/>
      <c r="AA36" s="618"/>
      <c r="AB36" s="618"/>
      <c r="AC36" s="618"/>
      <c r="AD36" s="618"/>
      <c r="AE36" s="618"/>
      <c r="AF36" s="618"/>
      <c r="AG36" s="618"/>
      <c r="AH36" s="618"/>
      <c r="AI36" s="618"/>
      <c r="AJ36" s="618"/>
      <c r="AK36" s="618"/>
      <c r="AL36" s="618"/>
      <c r="AM36" s="618"/>
      <c r="AN36" s="618"/>
      <c r="AO36" s="618"/>
      <c r="AP36" s="618"/>
      <c r="AQ36" s="618"/>
      <c r="AR36" s="618"/>
      <c r="AS36" s="618"/>
      <c r="AT36" s="618"/>
      <c r="AU36" s="618"/>
      <c r="AV36" s="618"/>
      <c r="AW36" s="45"/>
      <c r="AX36" s="4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</row>
    <row r="37" spans="2:122" ht="3.9" customHeight="1" x14ac:dyDescent="0.25">
      <c r="G37" s="46"/>
      <c r="H37" s="46"/>
      <c r="I37" s="46"/>
      <c r="J37" s="46"/>
      <c r="K37" s="46"/>
      <c r="L37" s="46"/>
      <c r="M37" s="46"/>
      <c r="N37" s="46"/>
      <c r="O37" s="46"/>
      <c r="P37" s="46"/>
      <c r="Q37" s="46"/>
      <c r="R37" s="46"/>
      <c r="S37" s="46"/>
      <c r="T37" s="46"/>
      <c r="U37" s="46"/>
      <c r="V37" s="46"/>
      <c r="W37" s="46"/>
      <c r="X37" s="46"/>
      <c r="Y37" s="46"/>
      <c r="Z37" s="46"/>
      <c r="AA37" s="46"/>
      <c r="AB37" s="46"/>
      <c r="AC37" s="46"/>
      <c r="AD37" s="46"/>
      <c r="AE37" s="46"/>
      <c r="AF37" s="46"/>
      <c r="AG37" s="46"/>
      <c r="AH37" s="46"/>
      <c r="AI37" s="46"/>
      <c r="AJ37" s="44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</row>
    <row r="38" spans="2:122" ht="12" customHeight="1" thickBot="1" x14ac:dyDescent="0.3">
      <c r="F38" s="47"/>
      <c r="G38" s="48" t="s">
        <v>279</v>
      </c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7"/>
      <c r="AN38" s="47"/>
      <c r="AO38" s="47"/>
      <c r="AP38" s="47"/>
      <c r="AQ38" s="47"/>
      <c r="AR38" s="47"/>
      <c r="AS38" s="47"/>
      <c r="AT38" s="47"/>
      <c r="AU38" s="47"/>
      <c r="AV38" s="47"/>
      <c r="AW38" s="47"/>
      <c r="AX38" s="49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/>
      <c r="DJ38"/>
      <c r="DK38"/>
      <c r="DL38"/>
      <c r="DM38"/>
      <c r="DN38"/>
      <c r="DO38"/>
      <c r="DP38"/>
      <c r="DQ38"/>
      <c r="DR38"/>
    </row>
    <row r="39" spans="2:122" ht="3.9" customHeight="1" x14ac:dyDescent="0.25">
      <c r="E39" s="9" t="s">
        <v>9</v>
      </c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2"/>
      <c r="AH39" s="22"/>
      <c r="AI39" s="22"/>
      <c r="AJ39" s="22"/>
      <c r="AK39" s="44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/>
      <c r="DJ39"/>
      <c r="DK39"/>
      <c r="DL39"/>
      <c r="DM39"/>
      <c r="DN39"/>
      <c r="DO39"/>
      <c r="DP39"/>
      <c r="DQ39"/>
      <c r="DR39"/>
    </row>
    <row r="40" spans="2:122" ht="11.1" customHeight="1" x14ac:dyDescent="0.25">
      <c r="G40" s="315" t="s">
        <v>10</v>
      </c>
      <c r="H40" s="316"/>
      <c r="I40" s="316"/>
      <c r="J40" s="316"/>
      <c r="K40" s="316"/>
      <c r="L40" s="316"/>
      <c r="M40" s="316"/>
      <c r="N40" s="316"/>
      <c r="O40" s="316"/>
      <c r="P40" s="316"/>
      <c r="Q40" s="316"/>
      <c r="R40" s="316"/>
      <c r="S40" s="316"/>
      <c r="T40" s="316"/>
      <c r="U40" s="316"/>
      <c r="V40" s="316"/>
      <c r="W40" s="316"/>
      <c r="X40" s="317"/>
      <c r="Y40" s="315" t="s">
        <v>69</v>
      </c>
      <c r="Z40" s="316"/>
      <c r="AA40" s="316"/>
      <c r="AB40" s="316"/>
      <c r="AC40" s="316"/>
      <c r="AD40" s="316"/>
      <c r="AE40" s="316"/>
      <c r="AF40" s="316"/>
      <c r="AG40" s="316"/>
      <c r="AH40" s="316"/>
      <c r="AI40" s="316"/>
      <c r="AJ40" s="317"/>
      <c r="AK40" s="315" t="s">
        <v>477</v>
      </c>
      <c r="AL40" s="316"/>
      <c r="AM40" s="316"/>
      <c r="AN40" s="316"/>
      <c r="AO40" s="316"/>
      <c r="AP40" s="317"/>
      <c r="AQ40" s="315" t="s">
        <v>11</v>
      </c>
      <c r="AR40" s="316"/>
      <c r="AS40" s="316"/>
      <c r="AT40" s="316"/>
      <c r="AU40" s="316"/>
      <c r="AV40" s="316"/>
      <c r="AW40" s="317"/>
      <c r="BM40" s="12"/>
      <c r="BN40" s="12"/>
      <c r="BO40" s="12"/>
      <c r="BP40" s="5"/>
      <c r="BQ40" s="5"/>
      <c r="BR40" s="5"/>
      <c r="BS40" s="5"/>
      <c r="BT40" s="5"/>
      <c r="BU40" s="5"/>
      <c r="BV40" s="5"/>
      <c r="BW40" s="5"/>
      <c r="BX40" s="5"/>
      <c r="BY40" s="12"/>
      <c r="CK40" s="12"/>
      <c r="CL40" s="12"/>
      <c r="CM40" s="12"/>
      <c r="CN40" s="12"/>
      <c r="CO40" s="12"/>
      <c r="CP40" s="12"/>
      <c r="CQ40" s="12"/>
      <c r="CR40" s="12"/>
      <c r="CS40" s="12"/>
      <c r="CT40" s="12"/>
      <c r="CU40" s="12"/>
      <c r="CV40" s="12"/>
      <c r="CW40" s="12"/>
      <c r="CX40" s="12"/>
      <c r="CY40" s="12"/>
      <c r="CZ40" s="12"/>
      <c r="DA40" s="12"/>
      <c r="DB40" s="12"/>
      <c r="DC40" s="12"/>
      <c r="DD40" s="12"/>
      <c r="DE40" s="12"/>
      <c r="DF40" s="12"/>
      <c r="DG40" s="12"/>
      <c r="DH40" s="12"/>
      <c r="DI40" s="12"/>
      <c r="DJ40" s="12"/>
      <c r="DK40" s="12"/>
      <c r="DL40" s="12"/>
    </row>
    <row r="41" spans="2:122" ht="11.1" customHeight="1" x14ac:dyDescent="0.25">
      <c r="G41" s="790">
        <f>Proposta_Constr_Individual!G44</f>
        <v>0</v>
      </c>
      <c r="H41" s="790"/>
      <c r="I41" s="790"/>
      <c r="J41" s="790"/>
      <c r="K41" s="790"/>
      <c r="L41" s="790"/>
      <c r="M41" s="790"/>
      <c r="N41" s="790"/>
      <c r="O41" s="790"/>
      <c r="P41" s="790"/>
      <c r="Q41" s="790"/>
      <c r="R41" s="790"/>
      <c r="S41" s="790"/>
      <c r="T41" s="790"/>
      <c r="U41" s="790"/>
      <c r="V41" s="790"/>
      <c r="W41" s="790"/>
      <c r="X41" s="790"/>
      <c r="Y41" s="805">
        <f>Proposta_Constr_Individual!Y44</f>
        <v>0</v>
      </c>
      <c r="Z41" s="806"/>
      <c r="AA41" s="806"/>
      <c r="AB41" s="806"/>
      <c r="AC41" s="806"/>
      <c r="AD41" s="806"/>
      <c r="AE41" s="806"/>
      <c r="AF41" s="806"/>
      <c r="AG41" s="806"/>
      <c r="AH41" s="806"/>
      <c r="AI41" s="806"/>
      <c r="AJ41" s="807"/>
      <c r="AK41" s="800">
        <f>Proposta_Constr_Individual!AK44</f>
        <v>0</v>
      </c>
      <c r="AL41" s="801"/>
      <c r="AM41" s="801"/>
      <c r="AN41" s="801"/>
      <c r="AO41" s="801"/>
      <c r="AP41" s="802"/>
      <c r="AQ41" s="798">
        <f>Proposta_Constr_Individual!AQ44</f>
        <v>0</v>
      </c>
      <c r="AR41" s="799"/>
      <c r="AS41" s="803">
        <f>Proposta_Constr_Individual!AS44</f>
        <v>0</v>
      </c>
      <c r="AT41" s="803"/>
      <c r="AU41" s="803"/>
      <c r="AV41" s="803"/>
      <c r="AW41" s="804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P41" s="5"/>
      <c r="BQ41" s="5"/>
      <c r="BR41" s="5"/>
      <c r="BS41" s="5"/>
      <c r="BT41" s="5"/>
      <c r="BU41" s="5"/>
      <c r="BV41" s="5"/>
      <c r="BW41" s="5"/>
      <c r="BX41" s="5"/>
      <c r="CC41" s="5"/>
      <c r="CD41" s="5"/>
      <c r="CE41" s="5"/>
      <c r="CK41" s="12"/>
      <c r="CL41" s="12"/>
      <c r="CM41" s="12"/>
      <c r="CN41" s="12"/>
      <c r="CO41" s="12"/>
      <c r="CP41" s="12"/>
      <c r="CQ41" s="12"/>
      <c r="CR41" s="12"/>
      <c r="CS41" s="12"/>
      <c r="CT41" s="12"/>
      <c r="CU41" s="12"/>
      <c r="CV41" s="12"/>
      <c r="CW41" s="12"/>
      <c r="CX41" s="12"/>
      <c r="CY41" s="12"/>
      <c r="CZ41" s="12"/>
      <c r="DA41" s="12"/>
      <c r="DB41" s="12"/>
      <c r="DC41" s="12"/>
      <c r="DD41" s="12"/>
      <c r="DE41" s="12"/>
      <c r="DF41" s="12"/>
      <c r="DG41" s="12"/>
      <c r="DH41" s="12"/>
      <c r="DI41" s="12"/>
      <c r="DJ41" s="12"/>
      <c r="DK41" s="12"/>
      <c r="DL41" s="12"/>
    </row>
    <row r="42" spans="2:122" ht="3.9" customHeight="1" x14ac:dyDescent="0.25"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  <c r="AB42" s="50"/>
      <c r="AC42" s="50"/>
      <c r="AD42" s="50"/>
      <c r="AE42" s="50"/>
      <c r="AF42" s="50"/>
      <c r="AG42" s="50"/>
      <c r="AH42" s="50"/>
      <c r="AI42" s="50"/>
      <c r="AJ42" s="50"/>
      <c r="AK42" s="50"/>
      <c r="AL42" s="51"/>
      <c r="AM42" s="51"/>
      <c r="AN42" s="52"/>
      <c r="AO42" s="52"/>
      <c r="AP42" s="52"/>
      <c r="AQ42" s="52"/>
      <c r="AR42" s="52"/>
      <c r="AS42" s="52"/>
      <c r="AT42" s="52"/>
      <c r="AU42" s="52"/>
      <c r="AV42" s="52"/>
      <c r="AW42" s="52"/>
      <c r="AX42" s="11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CC42" s="5"/>
      <c r="CD42" s="5"/>
      <c r="CE42" s="5"/>
      <c r="CK42" s="12"/>
      <c r="CL42" s="12"/>
      <c r="CM42" s="12"/>
      <c r="CN42" s="12"/>
      <c r="CO42" s="12"/>
      <c r="CP42" s="12"/>
      <c r="CQ42" s="12"/>
      <c r="CR42" s="12"/>
      <c r="CS42" s="12"/>
      <c r="CT42" s="12"/>
      <c r="CU42" s="12"/>
      <c r="CV42" s="12"/>
      <c r="CW42" s="12"/>
      <c r="CX42" s="12"/>
      <c r="CY42" s="12"/>
      <c r="CZ42" s="12"/>
      <c r="DA42" s="12"/>
      <c r="DB42" s="12"/>
      <c r="DC42" s="12"/>
      <c r="DD42" s="12"/>
      <c r="DE42" s="12"/>
      <c r="DF42" s="12"/>
      <c r="DG42" s="12"/>
      <c r="DH42" s="12"/>
      <c r="DI42" s="12"/>
      <c r="DJ42" s="12"/>
      <c r="DK42" s="12"/>
      <c r="DL42" s="12"/>
    </row>
    <row r="43" spans="2:122" ht="11.1" customHeight="1" x14ac:dyDescent="0.25">
      <c r="G43" s="315" t="s">
        <v>331</v>
      </c>
      <c r="H43" s="316"/>
      <c r="I43" s="316"/>
      <c r="J43" s="316"/>
      <c r="K43" s="316"/>
      <c r="L43" s="316"/>
      <c r="M43" s="316"/>
      <c r="N43" s="316"/>
      <c r="O43" s="316"/>
      <c r="P43" s="317"/>
      <c r="Q43" s="315" t="s">
        <v>213</v>
      </c>
      <c r="R43" s="316"/>
      <c r="S43" s="316"/>
      <c r="T43" s="316"/>
      <c r="U43" s="316"/>
      <c r="V43" s="316"/>
      <c r="W43" s="316"/>
      <c r="X43" s="316"/>
      <c r="Y43" s="316"/>
      <c r="Z43" s="316"/>
      <c r="AA43" s="317"/>
      <c r="AB43" s="315" t="s">
        <v>214</v>
      </c>
      <c r="AC43" s="316"/>
      <c r="AD43" s="316"/>
      <c r="AE43" s="316"/>
      <c r="AF43" s="316"/>
      <c r="AG43" s="316"/>
      <c r="AH43" s="317"/>
      <c r="AI43" s="209" t="s">
        <v>12</v>
      </c>
      <c r="AJ43" s="211"/>
      <c r="AK43" s="315" t="s">
        <v>215</v>
      </c>
      <c r="AL43" s="316"/>
      <c r="AM43" s="316"/>
      <c r="AN43" s="316"/>
      <c r="AO43" s="316"/>
      <c r="AP43" s="317"/>
      <c r="AQ43" s="315" t="s">
        <v>216</v>
      </c>
      <c r="AR43" s="316"/>
      <c r="AS43" s="316"/>
      <c r="AT43" s="316"/>
      <c r="AU43" s="316"/>
      <c r="AV43" s="316"/>
      <c r="AW43" s="317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12"/>
      <c r="CL43" s="12"/>
      <c r="CM43" s="12"/>
      <c r="CN43" s="12"/>
      <c r="CO43" s="12"/>
      <c r="CP43" s="12"/>
      <c r="CQ43" s="12"/>
      <c r="CR43" s="12"/>
      <c r="CS43" s="12"/>
      <c r="CT43" s="12"/>
      <c r="CU43" s="12"/>
      <c r="CV43" s="12"/>
      <c r="CW43" s="12"/>
      <c r="CX43" s="12"/>
      <c r="CY43" s="12"/>
      <c r="CZ43" s="12"/>
      <c r="DA43" s="12"/>
      <c r="DB43" s="12"/>
      <c r="DC43" s="12"/>
      <c r="DD43" s="12"/>
      <c r="DE43" s="12"/>
      <c r="DF43" s="12"/>
      <c r="DG43" s="12"/>
      <c r="DH43" s="12"/>
      <c r="DI43" s="12"/>
      <c r="DJ43" s="12"/>
      <c r="DK43" s="12"/>
      <c r="DL43" s="12"/>
    </row>
    <row r="44" spans="2:122" ht="11.1" customHeight="1" x14ac:dyDescent="0.25">
      <c r="G44" s="790">
        <f>Proposta_Constr_Individual!G47</f>
        <v>0</v>
      </c>
      <c r="H44" s="790"/>
      <c r="I44" s="790"/>
      <c r="J44" s="790"/>
      <c r="K44" s="790"/>
      <c r="L44" s="790"/>
      <c r="M44" s="790"/>
      <c r="N44" s="790"/>
      <c r="O44" s="790"/>
      <c r="P44" s="790"/>
      <c r="Q44" s="791">
        <f>Proposta_Constr_Individual!Q47</f>
        <v>0</v>
      </c>
      <c r="R44" s="791"/>
      <c r="S44" s="791"/>
      <c r="T44" s="791"/>
      <c r="U44" s="791"/>
      <c r="V44" s="791"/>
      <c r="W44" s="791"/>
      <c r="X44" s="791"/>
      <c r="Y44" s="791"/>
      <c r="Z44" s="791"/>
      <c r="AA44" s="791"/>
      <c r="AB44" s="796">
        <f>Proposta_Constr_Individual!AB47</f>
        <v>0</v>
      </c>
      <c r="AC44" s="796"/>
      <c r="AD44" s="796"/>
      <c r="AE44" s="796"/>
      <c r="AF44" s="796"/>
      <c r="AG44" s="796"/>
      <c r="AH44" s="797"/>
      <c r="AI44" s="798">
        <f>Proposta_Constr_Individual!AI47</f>
        <v>0</v>
      </c>
      <c r="AJ44" s="799"/>
      <c r="AK44" s="800">
        <f>Proposta_Constr_Individual!AK47</f>
        <v>0</v>
      </c>
      <c r="AL44" s="801"/>
      <c r="AM44" s="801"/>
      <c r="AN44" s="801"/>
      <c r="AO44" s="801"/>
      <c r="AP44" s="802"/>
      <c r="AQ44" s="798">
        <f>Proposta_Constr_Individual!AQ47</f>
        <v>0</v>
      </c>
      <c r="AR44" s="799"/>
      <c r="AS44" s="803">
        <f>Proposta_Constr_Individual!AS47</f>
        <v>0</v>
      </c>
      <c r="AT44" s="803"/>
      <c r="AU44" s="803"/>
      <c r="AV44" s="803"/>
      <c r="AW44" s="804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12"/>
      <c r="CL44" s="12"/>
      <c r="CM44" s="12"/>
      <c r="CN44" s="12"/>
      <c r="CO44" s="12"/>
      <c r="CP44" s="12"/>
      <c r="CQ44" s="12"/>
      <c r="CR44" s="12"/>
      <c r="CS44" s="12"/>
      <c r="CT44" s="12"/>
      <c r="CU44" s="12"/>
      <c r="CV44" s="12"/>
      <c r="CW44" s="12"/>
      <c r="CX44" s="12"/>
      <c r="CY44" s="12"/>
      <c r="CZ44" s="12"/>
      <c r="DA44" s="12"/>
      <c r="DB44" s="12"/>
      <c r="DC44" s="12"/>
      <c r="DD44" s="12"/>
      <c r="DE44" s="12"/>
      <c r="DF44" s="12"/>
      <c r="DG44" s="12"/>
      <c r="DH44" s="12"/>
      <c r="DI44" s="12"/>
      <c r="DJ44" s="12"/>
      <c r="DK44" s="12"/>
      <c r="DL44" s="12"/>
    </row>
    <row r="45" spans="2:122" ht="3.9" customHeight="1" x14ac:dyDescent="0.25">
      <c r="G45" s="50"/>
      <c r="H45" s="50"/>
      <c r="I45" s="50"/>
      <c r="J45" s="50"/>
      <c r="K45" s="50"/>
      <c r="L45" s="50"/>
      <c r="M45" s="50"/>
      <c r="N45" s="50"/>
      <c r="O45" s="50"/>
      <c r="P45" s="50"/>
      <c r="Q45" s="50"/>
      <c r="R45" s="50"/>
      <c r="S45" s="50"/>
      <c r="T45" s="50"/>
      <c r="U45" s="50"/>
      <c r="V45" s="50"/>
      <c r="W45" s="50"/>
      <c r="X45" s="50"/>
      <c r="Y45" s="50"/>
      <c r="Z45" s="50"/>
      <c r="AA45" s="50"/>
      <c r="AB45" s="50"/>
      <c r="AC45" s="50"/>
      <c r="AD45" s="50"/>
      <c r="AE45" s="50"/>
      <c r="AF45" s="50"/>
      <c r="AG45" s="50"/>
      <c r="AH45" s="50"/>
      <c r="AI45" s="50"/>
      <c r="AJ45" s="50"/>
      <c r="AK45" s="51"/>
      <c r="AL45" s="52"/>
      <c r="AM45" s="52"/>
      <c r="AN45" s="52"/>
      <c r="AO45" s="52"/>
      <c r="AP45" s="52"/>
      <c r="AQ45" s="52"/>
      <c r="AR45" s="52"/>
      <c r="AS45" s="52"/>
      <c r="AT45" s="52"/>
      <c r="AU45" s="52"/>
      <c r="AV45" s="52"/>
      <c r="AW45" s="52"/>
      <c r="AX45" s="11"/>
      <c r="AY45" s="11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12"/>
      <c r="CL45" s="12"/>
      <c r="CM45" s="12"/>
      <c r="CN45" s="12"/>
      <c r="CO45" s="12"/>
      <c r="CP45" s="12"/>
      <c r="CQ45" s="12"/>
      <c r="CR45" s="12"/>
      <c r="CS45" s="12"/>
      <c r="CT45" s="12"/>
      <c r="CU45" s="12"/>
      <c r="CV45" s="12"/>
      <c r="CW45" s="12"/>
      <c r="CX45" s="12"/>
      <c r="CY45" s="12"/>
      <c r="CZ45" s="12"/>
      <c r="DA45" s="12"/>
      <c r="DB45" s="12"/>
      <c r="DC45" s="12"/>
      <c r="DD45" s="12"/>
      <c r="DE45" s="12"/>
      <c r="DF45" s="12"/>
      <c r="DG45" s="12"/>
      <c r="DH45" s="12"/>
      <c r="DI45" s="12"/>
      <c r="DJ45" s="12"/>
      <c r="DK45" s="12"/>
      <c r="DL45" s="12"/>
    </row>
    <row r="46" spans="2:122" ht="11.1" customHeight="1" x14ac:dyDescent="0.25">
      <c r="G46" s="315" t="s">
        <v>332</v>
      </c>
      <c r="H46" s="316"/>
      <c r="I46" s="316"/>
      <c r="J46" s="316"/>
      <c r="K46" s="316"/>
      <c r="L46" s="316"/>
      <c r="M46" s="316"/>
      <c r="N46" s="316"/>
      <c r="O46" s="316"/>
      <c r="P46" s="317"/>
      <c r="Q46" s="315" t="s">
        <v>217</v>
      </c>
      <c r="R46" s="316"/>
      <c r="S46" s="316"/>
      <c r="T46" s="316"/>
      <c r="U46" s="316"/>
      <c r="V46" s="316"/>
      <c r="W46" s="316"/>
      <c r="X46" s="316"/>
      <c r="Y46" s="316"/>
      <c r="Z46" s="316"/>
      <c r="AA46" s="317"/>
      <c r="AB46" s="315" t="s">
        <v>218</v>
      </c>
      <c r="AC46" s="316"/>
      <c r="AD46" s="316"/>
      <c r="AE46" s="316"/>
      <c r="AF46" s="316"/>
      <c r="AG46" s="316"/>
      <c r="AH46" s="317"/>
      <c r="AI46" s="209" t="s">
        <v>12</v>
      </c>
      <c r="AJ46" s="211"/>
      <c r="AK46" s="315" t="s">
        <v>219</v>
      </c>
      <c r="AL46" s="316"/>
      <c r="AM46" s="316"/>
      <c r="AN46" s="316"/>
      <c r="AO46" s="316"/>
      <c r="AP46" s="317"/>
      <c r="AQ46" s="315" t="s">
        <v>220</v>
      </c>
      <c r="AR46" s="316"/>
      <c r="AS46" s="316"/>
      <c r="AT46" s="316"/>
      <c r="AU46" s="316"/>
      <c r="AV46" s="316"/>
      <c r="AW46" s="317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DB46" s="12"/>
      <c r="DC46" s="12"/>
      <c r="DD46" s="12"/>
      <c r="DE46" s="12"/>
      <c r="DF46" s="12"/>
      <c r="DG46" s="12"/>
      <c r="DH46" s="12"/>
      <c r="DI46" s="12"/>
      <c r="DJ46" s="12"/>
      <c r="DK46" s="12"/>
      <c r="DL46" s="12"/>
    </row>
    <row r="47" spans="2:122" ht="11.1" customHeight="1" x14ac:dyDescent="0.25">
      <c r="G47" s="790">
        <f>Proposta_Constr_Individual!G50</f>
        <v>0</v>
      </c>
      <c r="H47" s="790"/>
      <c r="I47" s="790"/>
      <c r="J47" s="790"/>
      <c r="K47" s="790"/>
      <c r="L47" s="790"/>
      <c r="M47" s="790"/>
      <c r="N47" s="790"/>
      <c r="O47" s="790"/>
      <c r="P47" s="790"/>
      <c r="Q47" s="791">
        <f>Proposta_Constr_Individual!Q50</f>
        <v>0</v>
      </c>
      <c r="R47" s="791"/>
      <c r="S47" s="791"/>
      <c r="T47" s="791"/>
      <c r="U47" s="791"/>
      <c r="V47" s="791"/>
      <c r="W47" s="791"/>
      <c r="X47" s="791"/>
      <c r="Y47" s="791"/>
      <c r="Z47" s="791"/>
      <c r="AA47" s="791"/>
      <c r="AB47" s="796">
        <f>Proposta_Constr_Individual!AB50</f>
        <v>0</v>
      </c>
      <c r="AC47" s="796"/>
      <c r="AD47" s="796"/>
      <c r="AE47" s="796"/>
      <c r="AF47" s="796"/>
      <c r="AG47" s="796"/>
      <c r="AH47" s="797"/>
      <c r="AI47" s="798">
        <f>Proposta_Constr_Individual!AI50</f>
        <v>0</v>
      </c>
      <c r="AJ47" s="799"/>
      <c r="AK47" s="800">
        <f>Proposta_Constr_Individual!AK50</f>
        <v>0</v>
      </c>
      <c r="AL47" s="801"/>
      <c r="AM47" s="801"/>
      <c r="AN47" s="801"/>
      <c r="AO47" s="801"/>
      <c r="AP47" s="802"/>
      <c r="AQ47" s="798">
        <f>Proposta_Constr_Individual!AQ50</f>
        <v>0</v>
      </c>
      <c r="AR47" s="799"/>
      <c r="AS47" s="803">
        <f>Proposta_Constr_Individual!AS50</f>
        <v>0</v>
      </c>
      <c r="AT47" s="803"/>
      <c r="AU47" s="803"/>
      <c r="AV47" s="803"/>
      <c r="AW47" s="804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DB47" s="12"/>
      <c r="DC47" s="12"/>
      <c r="DD47" s="12"/>
      <c r="DE47" s="12"/>
      <c r="DF47" s="12"/>
      <c r="DG47" s="12"/>
      <c r="DH47" s="12"/>
      <c r="DI47" s="12"/>
      <c r="DJ47" s="12"/>
      <c r="DK47" s="12"/>
      <c r="DL47" s="12"/>
    </row>
    <row r="48" spans="2:122" ht="3.9" customHeight="1" x14ac:dyDescent="0.25">
      <c r="G48" s="50"/>
      <c r="H48" s="50"/>
      <c r="I48" s="50"/>
      <c r="J48" s="50"/>
      <c r="K48" s="50"/>
      <c r="L48" s="50"/>
      <c r="M48" s="50"/>
      <c r="N48" s="50"/>
      <c r="O48" s="50"/>
      <c r="P48" s="50"/>
      <c r="Q48" s="50"/>
      <c r="R48" s="50"/>
      <c r="S48" s="50"/>
      <c r="T48" s="50"/>
      <c r="U48" s="50"/>
      <c r="V48" s="50"/>
      <c r="W48" s="50"/>
      <c r="X48" s="50"/>
      <c r="Y48" s="50"/>
      <c r="Z48" s="50"/>
      <c r="AA48" s="50"/>
      <c r="AB48" s="50"/>
      <c r="AC48" s="50"/>
      <c r="AD48" s="50"/>
      <c r="AE48" s="50"/>
      <c r="AF48" s="50"/>
      <c r="AG48" s="50"/>
      <c r="AH48" s="50"/>
      <c r="AI48" s="50"/>
      <c r="AJ48" s="50"/>
      <c r="AK48" s="51"/>
      <c r="AL48" s="52"/>
      <c r="AM48" s="52"/>
      <c r="AN48" s="52"/>
      <c r="AO48" s="52"/>
      <c r="AP48" s="52"/>
      <c r="AQ48" s="52"/>
      <c r="AR48" s="52"/>
      <c r="AS48" s="52"/>
      <c r="AT48" s="52"/>
      <c r="AU48" s="52"/>
      <c r="AV48" s="52"/>
      <c r="AW48" s="52"/>
      <c r="AX48" s="11"/>
      <c r="AY48" s="11"/>
      <c r="AZ48" s="5"/>
      <c r="BA48" s="5"/>
      <c r="BB48" s="5"/>
      <c r="BC48" s="5"/>
      <c r="BL48" s="5"/>
      <c r="BM48" s="5"/>
      <c r="BN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DB48" s="5"/>
      <c r="DC48" s="5"/>
      <c r="DD48" s="5"/>
      <c r="DE48" s="5"/>
      <c r="DF48" s="5"/>
      <c r="DG48" s="5"/>
      <c r="DH48" s="5"/>
      <c r="DI48" s="12"/>
      <c r="DJ48" s="12"/>
      <c r="DK48" s="12"/>
      <c r="DL48" s="12"/>
    </row>
    <row r="49" spans="1:156" ht="11.1" customHeight="1" x14ac:dyDescent="0.25">
      <c r="G49" s="731" t="s">
        <v>282</v>
      </c>
      <c r="H49" s="732"/>
      <c r="I49" s="732"/>
      <c r="J49" s="732"/>
      <c r="K49" s="732"/>
      <c r="L49" s="732"/>
      <c r="M49" s="732"/>
      <c r="N49" s="732"/>
      <c r="O49" s="732"/>
      <c r="P49" s="732"/>
      <c r="Q49" s="732"/>
      <c r="R49" s="732"/>
      <c r="S49" s="732"/>
      <c r="T49" s="732"/>
      <c r="U49" s="732"/>
      <c r="V49" s="732"/>
      <c r="W49" s="732"/>
      <c r="X49" s="732"/>
      <c r="Y49" s="732"/>
      <c r="Z49" s="732"/>
      <c r="AA49" s="732"/>
      <c r="AB49" s="732"/>
      <c r="AC49" s="732"/>
      <c r="AD49" s="732"/>
      <c r="AE49" s="732"/>
      <c r="AF49" s="732"/>
      <c r="AG49" s="732"/>
      <c r="AH49" s="732"/>
      <c r="AI49" s="732"/>
      <c r="AJ49" s="732"/>
      <c r="AK49" s="732"/>
      <c r="AL49" s="732"/>
      <c r="AM49" s="732"/>
      <c r="AN49" s="732"/>
      <c r="AO49" s="732"/>
      <c r="AP49" s="732"/>
      <c r="AQ49" s="732"/>
      <c r="AR49" s="732"/>
      <c r="AS49" s="732"/>
      <c r="AT49" s="732"/>
      <c r="AU49" s="732"/>
      <c r="AV49" s="732"/>
      <c r="AW49" s="733"/>
      <c r="AZ49" s="5"/>
      <c r="BA49" s="5"/>
      <c r="BB49" s="5"/>
      <c r="BC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</row>
    <row r="50" spans="1:156" ht="11.1" customHeight="1" x14ac:dyDescent="0.25">
      <c r="G50" s="511" t="s">
        <v>60</v>
      </c>
      <c r="H50" s="512"/>
      <c r="I50" s="512"/>
      <c r="J50" s="512"/>
      <c r="K50" s="512"/>
      <c r="L50" s="512"/>
      <c r="M50" s="512"/>
      <c r="N50" s="512"/>
      <c r="O50" s="512"/>
      <c r="P50" s="512"/>
      <c r="Q50" s="512"/>
      <c r="R50" s="512"/>
      <c r="S50" s="512"/>
      <c r="T50" s="512"/>
      <c r="U50" s="512"/>
      <c r="V50" s="512"/>
      <c r="W50" s="512"/>
      <c r="X50" s="512"/>
      <c r="Y50" s="512"/>
      <c r="Z50" s="512"/>
      <c r="AA50" s="512"/>
      <c r="AB50" s="512"/>
      <c r="AC50" s="512"/>
      <c r="AD50" s="512"/>
      <c r="AE50" s="512"/>
      <c r="AF50" s="512"/>
      <c r="AG50" s="512"/>
      <c r="AH50" s="512"/>
      <c r="AI50" s="513"/>
      <c r="AJ50" s="511" t="s">
        <v>13</v>
      </c>
      <c r="AK50" s="512"/>
      <c r="AL50" s="512"/>
      <c r="AM50" s="512"/>
      <c r="AN50" s="512"/>
      <c r="AO50" s="512"/>
      <c r="AP50" s="512"/>
      <c r="AQ50" s="512"/>
      <c r="AR50" s="512"/>
      <c r="AS50" s="512"/>
      <c r="AT50" s="512"/>
      <c r="AU50" s="512"/>
      <c r="AV50" s="512"/>
      <c r="AW50" s="513"/>
      <c r="AZ50" s="5"/>
      <c r="BA50" s="5"/>
      <c r="BB50" s="5"/>
      <c r="BC50" s="5"/>
      <c r="BL50" s="5"/>
      <c r="BM50" s="5"/>
      <c r="BN50" s="5"/>
      <c r="BO50" s="5"/>
      <c r="BP50" s="5"/>
      <c r="BQ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</row>
    <row r="51" spans="1:156" ht="11.1" customHeight="1" x14ac:dyDescent="0.25">
      <c r="G51" s="796">
        <f>Proposta_Constr_Individual!G54</f>
        <v>0</v>
      </c>
      <c r="H51" s="796"/>
      <c r="I51" s="796"/>
      <c r="J51" s="796"/>
      <c r="K51" s="796"/>
      <c r="L51" s="796"/>
      <c r="M51" s="796"/>
      <c r="N51" s="796"/>
      <c r="O51" s="796"/>
      <c r="P51" s="796"/>
      <c r="Q51" s="796"/>
      <c r="R51" s="796"/>
      <c r="S51" s="796"/>
      <c r="T51" s="796"/>
      <c r="U51" s="796"/>
      <c r="V51" s="796"/>
      <c r="W51" s="796"/>
      <c r="X51" s="796"/>
      <c r="Y51" s="796"/>
      <c r="Z51" s="796"/>
      <c r="AA51" s="796"/>
      <c r="AB51" s="796"/>
      <c r="AC51" s="796"/>
      <c r="AD51" s="796"/>
      <c r="AE51" s="796"/>
      <c r="AF51" s="796"/>
      <c r="AG51" s="796"/>
      <c r="AH51" s="796"/>
      <c r="AI51" s="796"/>
      <c r="AJ51" s="796">
        <f>Proposta_Constr_Individual!AJ54</f>
        <v>0</v>
      </c>
      <c r="AK51" s="796"/>
      <c r="AL51" s="796"/>
      <c r="AM51" s="796"/>
      <c r="AN51" s="796"/>
      <c r="AO51" s="796"/>
      <c r="AP51" s="796"/>
      <c r="AQ51" s="796"/>
      <c r="AR51" s="796"/>
      <c r="AS51" s="796"/>
      <c r="AT51" s="796"/>
      <c r="AU51" s="796"/>
      <c r="AV51" s="796"/>
      <c r="AW51" s="796"/>
      <c r="AZ51" s="5"/>
      <c r="BA51" s="5"/>
      <c r="BB51" s="5"/>
      <c r="BC51" s="5"/>
      <c r="BL51" s="5"/>
      <c r="BM51" s="5"/>
      <c r="BN51" s="5"/>
      <c r="BO51" s="5"/>
      <c r="BP51" s="5"/>
      <c r="BQ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</row>
    <row r="52" spans="1:156" ht="11.1" customHeight="1" x14ac:dyDescent="0.25">
      <c r="G52" s="511" t="s">
        <v>14</v>
      </c>
      <c r="H52" s="512"/>
      <c r="I52" s="512"/>
      <c r="J52" s="512"/>
      <c r="K52" s="512"/>
      <c r="L52" s="512"/>
      <c r="M52" s="512"/>
      <c r="N52" s="512"/>
      <c r="O52" s="512"/>
      <c r="P52" s="512"/>
      <c r="Q52" s="512"/>
      <c r="R52" s="512"/>
      <c r="S52" s="512"/>
      <c r="T52" s="512"/>
      <c r="U52" s="513"/>
      <c r="V52" s="334" t="s">
        <v>15</v>
      </c>
      <c r="W52" s="237"/>
      <c r="X52" s="237"/>
      <c r="Y52" s="237"/>
      <c r="Z52" s="238"/>
      <c r="AA52" s="334" t="s">
        <v>16</v>
      </c>
      <c r="AB52" s="237"/>
      <c r="AC52" s="237"/>
      <c r="AD52" s="237"/>
      <c r="AE52" s="237"/>
      <c r="AF52" s="237"/>
      <c r="AG52" s="237"/>
      <c r="AH52" s="237"/>
      <c r="AI52" s="237"/>
      <c r="AJ52" s="237"/>
      <c r="AK52" s="237"/>
      <c r="AL52" s="237"/>
      <c r="AM52" s="237"/>
      <c r="AN52" s="237"/>
      <c r="AO52" s="237"/>
      <c r="AP52" s="237"/>
      <c r="AQ52" s="237"/>
      <c r="AR52" s="237"/>
      <c r="AS52" s="237"/>
      <c r="AT52" s="237"/>
      <c r="AU52" s="238"/>
      <c r="AV52" s="209" t="s">
        <v>12</v>
      </c>
      <c r="AW52" s="211"/>
      <c r="AX52" s="11"/>
      <c r="AY52" s="11"/>
      <c r="AZ52" s="5"/>
      <c r="BA52" s="5"/>
      <c r="BB52" s="5"/>
      <c r="BC52" s="5"/>
      <c r="BL52" s="5"/>
      <c r="BM52" s="5"/>
      <c r="BN52" s="5"/>
      <c r="BO52" s="5"/>
      <c r="BP52" s="5"/>
      <c r="BQ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</row>
    <row r="53" spans="1:156" ht="11.1" customHeight="1" x14ac:dyDescent="0.25">
      <c r="G53" s="790">
        <f>Proposta_Constr_Individual!G56</f>
        <v>0</v>
      </c>
      <c r="H53" s="790"/>
      <c r="I53" s="790"/>
      <c r="J53" s="790"/>
      <c r="K53" s="790"/>
      <c r="L53" s="790"/>
      <c r="M53" s="790"/>
      <c r="N53" s="790"/>
      <c r="O53" s="790"/>
      <c r="P53" s="790"/>
      <c r="Q53" s="790"/>
      <c r="R53" s="790"/>
      <c r="S53" s="790"/>
      <c r="T53" s="790"/>
      <c r="U53" s="790"/>
      <c r="V53" s="808">
        <f>Proposta_Constr_Individual!V56</f>
        <v>0</v>
      </c>
      <c r="W53" s="808"/>
      <c r="X53" s="808"/>
      <c r="Y53" s="808"/>
      <c r="Z53" s="808"/>
      <c r="AA53" s="790">
        <f>Proposta_Constr_Individual!AA56</f>
        <v>0</v>
      </c>
      <c r="AB53" s="790"/>
      <c r="AC53" s="790"/>
      <c r="AD53" s="790"/>
      <c r="AE53" s="790"/>
      <c r="AF53" s="790"/>
      <c r="AG53" s="790"/>
      <c r="AH53" s="790"/>
      <c r="AI53" s="790"/>
      <c r="AJ53" s="790"/>
      <c r="AK53" s="790"/>
      <c r="AL53" s="790"/>
      <c r="AM53" s="790"/>
      <c r="AN53" s="790"/>
      <c r="AO53" s="790"/>
      <c r="AP53" s="790"/>
      <c r="AQ53" s="790"/>
      <c r="AR53" s="790"/>
      <c r="AS53" s="790"/>
      <c r="AT53" s="790"/>
      <c r="AU53" s="790"/>
      <c r="AV53" s="798">
        <f>Proposta_Constr_Individual!AV56</f>
        <v>0</v>
      </c>
      <c r="AW53" s="799"/>
      <c r="AX53" s="11"/>
      <c r="AY53" s="11"/>
      <c r="AZ53" s="5"/>
      <c r="BA53" s="5"/>
      <c r="BB53" s="5"/>
      <c r="BC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</row>
    <row r="54" spans="1:156" s="42" customFormat="1" ht="3.9" customHeight="1" x14ac:dyDescent="0.25">
      <c r="A54" s="8"/>
      <c r="B54" s="8"/>
      <c r="C54" s="8"/>
      <c r="D54" s="8"/>
      <c r="E54" s="9" t="s">
        <v>24</v>
      </c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</row>
    <row r="55" spans="1:156" ht="12" customHeight="1" thickBot="1" x14ac:dyDescent="0.3">
      <c r="F55" s="47"/>
      <c r="G55" s="48" t="s">
        <v>210</v>
      </c>
      <c r="H55" s="47"/>
      <c r="I55" s="47"/>
      <c r="J55" s="47"/>
      <c r="K55" s="47"/>
      <c r="L55" s="47"/>
      <c r="M55" s="47"/>
      <c r="N55" s="47"/>
      <c r="O55" s="47"/>
      <c r="P55" s="47"/>
      <c r="Q55" s="47"/>
      <c r="R55" s="47"/>
      <c r="S55" s="47"/>
      <c r="T55" s="47"/>
      <c r="U55" s="47"/>
      <c r="V55" s="47"/>
      <c r="W55" s="47"/>
      <c r="X55" s="47"/>
      <c r="Y55" s="47"/>
      <c r="Z55" s="47"/>
      <c r="AA55" s="47"/>
      <c r="AB55" s="47"/>
      <c r="AC55" s="47"/>
      <c r="AD55" s="47"/>
      <c r="AE55" s="47"/>
      <c r="AF55" s="47"/>
      <c r="AG55" s="47"/>
      <c r="AH55" s="47"/>
      <c r="AI55" s="47"/>
      <c r="AJ55" s="47"/>
      <c r="AK55" s="47"/>
      <c r="AL55" s="47"/>
      <c r="AM55" s="47"/>
      <c r="AN55" s="47"/>
      <c r="AO55" s="47"/>
      <c r="AP55" s="47"/>
      <c r="AQ55" s="47"/>
      <c r="AR55" s="47"/>
      <c r="AS55" s="47"/>
      <c r="AT55" s="47"/>
      <c r="AU55" s="47"/>
      <c r="AV55" s="47"/>
      <c r="AW55" s="47"/>
      <c r="AX55" s="49"/>
      <c r="AY55" s="11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</row>
    <row r="56" spans="1:156" ht="3.9" customHeight="1" x14ac:dyDescent="0.25">
      <c r="E56" s="9" t="s">
        <v>9</v>
      </c>
      <c r="F56" s="54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Y56" s="11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</row>
    <row r="57" spans="1:156" ht="11.1" customHeight="1" x14ac:dyDescent="0.25">
      <c r="G57" s="731" t="s">
        <v>209</v>
      </c>
      <c r="H57" s="780"/>
      <c r="I57" s="780"/>
      <c r="J57" s="780"/>
      <c r="K57" s="780"/>
      <c r="L57" s="780"/>
      <c r="M57" s="780"/>
      <c r="N57" s="780"/>
      <c r="O57" s="780"/>
      <c r="P57" s="780"/>
      <c r="Q57" s="780"/>
      <c r="R57" s="780"/>
      <c r="S57" s="780"/>
      <c r="T57" s="780"/>
      <c r="U57" s="780"/>
      <c r="V57" s="780"/>
      <c r="W57" s="780"/>
      <c r="X57" s="780"/>
      <c r="Y57" s="780"/>
      <c r="Z57" s="780"/>
      <c r="AA57" s="780"/>
      <c r="AB57" s="780"/>
      <c r="AC57" s="780"/>
      <c r="AD57" s="780"/>
      <c r="AE57" s="780"/>
      <c r="AF57" s="780"/>
      <c r="AG57" s="780"/>
      <c r="AH57" s="780"/>
      <c r="AI57" s="780"/>
      <c r="AJ57" s="780"/>
      <c r="AK57" s="780"/>
      <c r="AL57" s="780"/>
      <c r="AM57" s="780"/>
      <c r="AN57" s="780"/>
      <c r="AO57" s="780"/>
      <c r="AP57" s="780"/>
      <c r="AQ57" s="780"/>
      <c r="AR57" s="780"/>
      <c r="AS57" s="780"/>
      <c r="AT57" s="780"/>
      <c r="AU57" s="780"/>
      <c r="AV57" s="780"/>
      <c r="AW57" s="781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</row>
    <row r="58" spans="1:156" ht="11.1" customHeight="1" x14ac:dyDescent="0.25">
      <c r="G58" s="812" t="s">
        <v>211</v>
      </c>
      <c r="H58" s="813"/>
      <c r="I58" s="814"/>
      <c r="J58" s="818" t="s">
        <v>212</v>
      </c>
      <c r="K58" s="819"/>
      <c r="L58" s="819"/>
      <c r="M58" s="819"/>
      <c r="N58" s="819"/>
      <c r="O58" s="819"/>
      <c r="P58" s="819"/>
      <c r="Q58" s="819"/>
      <c r="R58" s="819"/>
      <c r="S58" s="819"/>
      <c r="T58" s="819"/>
      <c r="U58" s="819"/>
      <c r="V58" s="819"/>
      <c r="W58" s="819"/>
      <c r="X58" s="819"/>
      <c r="Y58" s="819"/>
      <c r="Z58" s="819"/>
      <c r="AA58" s="819"/>
      <c r="AB58" s="819"/>
      <c r="AC58" s="820"/>
      <c r="AD58" s="818" t="s">
        <v>488</v>
      </c>
      <c r="AE58" s="819"/>
      <c r="AF58" s="819"/>
      <c r="AG58" s="819"/>
      <c r="AH58" s="819"/>
      <c r="AI58" s="819"/>
      <c r="AJ58" s="819"/>
      <c r="AK58" s="819"/>
      <c r="AL58" s="819"/>
      <c r="AM58" s="819"/>
      <c r="AN58" s="819"/>
      <c r="AO58" s="819"/>
      <c r="AP58" s="819"/>
      <c r="AQ58" s="819"/>
      <c r="AR58" s="819"/>
      <c r="AS58" s="819"/>
      <c r="AT58" s="819"/>
      <c r="AU58" s="819"/>
      <c r="AV58" s="819"/>
      <c r="AW58" s="820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</row>
    <row r="59" spans="1:156" ht="11.1" customHeight="1" x14ac:dyDescent="0.25">
      <c r="G59" s="815"/>
      <c r="H59" s="816"/>
      <c r="I59" s="817"/>
      <c r="J59" s="824" t="s">
        <v>498</v>
      </c>
      <c r="K59" s="825"/>
      <c r="L59" s="825"/>
      <c r="M59" s="825"/>
      <c r="N59" s="825"/>
      <c r="O59" s="825"/>
      <c r="P59" s="825" t="s">
        <v>271</v>
      </c>
      <c r="Q59" s="825"/>
      <c r="R59" s="825"/>
      <c r="S59" s="825"/>
      <c r="T59" s="825"/>
      <c r="U59" s="825"/>
      <c r="V59" s="825"/>
      <c r="W59" s="825" t="s">
        <v>272</v>
      </c>
      <c r="X59" s="825"/>
      <c r="Y59" s="825"/>
      <c r="Z59" s="825"/>
      <c r="AA59" s="825"/>
      <c r="AB59" s="825"/>
      <c r="AC59" s="826"/>
      <c r="AD59" s="824" t="s">
        <v>498</v>
      </c>
      <c r="AE59" s="825"/>
      <c r="AF59" s="825"/>
      <c r="AG59" s="825"/>
      <c r="AH59" s="825"/>
      <c r="AI59" s="825"/>
      <c r="AJ59" s="825" t="s">
        <v>271</v>
      </c>
      <c r="AK59" s="825"/>
      <c r="AL59" s="825"/>
      <c r="AM59" s="825"/>
      <c r="AN59" s="825"/>
      <c r="AO59" s="825"/>
      <c r="AP59" s="825"/>
      <c r="AQ59" s="825" t="s">
        <v>272</v>
      </c>
      <c r="AR59" s="825"/>
      <c r="AS59" s="825"/>
      <c r="AT59" s="825"/>
      <c r="AU59" s="825"/>
      <c r="AV59" s="825"/>
      <c r="AW59" s="826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</row>
    <row r="60" spans="1:156" ht="11.1" customHeight="1" x14ac:dyDescent="0.25">
      <c r="G60" s="821" t="s">
        <v>460</v>
      </c>
      <c r="H60" s="822"/>
      <c r="I60" s="823"/>
      <c r="J60" s="827">
        <f>PLS!BF77</f>
        <v>44558</v>
      </c>
      <c r="K60" s="828"/>
      <c r="L60" s="828"/>
      <c r="M60" s="828"/>
      <c r="N60" s="828"/>
      <c r="O60" s="829"/>
      <c r="P60" s="830">
        <f>Proposta_Constr_Individual!AM144</f>
        <v>0</v>
      </c>
      <c r="Q60" s="831"/>
      <c r="R60" s="831"/>
      <c r="S60" s="831"/>
      <c r="T60" s="831"/>
      <c r="U60" s="831"/>
      <c r="V60" s="831"/>
      <c r="W60" s="828">
        <f>IF(P60=0,0,P60)</f>
        <v>0</v>
      </c>
      <c r="X60" s="828"/>
      <c r="Y60" s="828"/>
      <c r="Z60" s="828"/>
      <c r="AA60" s="828"/>
      <c r="AB60" s="828"/>
      <c r="AC60" s="829"/>
      <c r="AD60" s="830"/>
      <c r="AE60" s="831"/>
      <c r="AF60" s="831"/>
      <c r="AG60" s="831"/>
      <c r="AH60" s="831"/>
      <c r="AI60" s="831"/>
      <c r="AJ60" s="832"/>
      <c r="AK60" s="833"/>
      <c r="AL60" s="833"/>
      <c r="AM60" s="833"/>
      <c r="AN60" s="833"/>
      <c r="AO60" s="833"/>
      <c r="AP60" s="833"/>
      <c r="AQ60" s="828">
        <f>IF(AJ60=0,0,AJ60)</f>
        <v>0</v>
      </c>
      <c r="AR60" s="828"/>
      <c r="AS60" s="828"/>
      <c r="AT60" s="828"/>
      <c r="AU60" s="828"/>
      <c r="AV60" s="828"/>
      <c r="AW60" s="829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</row>
    <row r="61" spans="1:156" ht="11.1" customHeight="1" x14ac:dyDescent="0.25">
      <c r="G61" s="809">
        <v>1</v>
      </c>
      <c r="H61" s="810"/>
      <c r="I61" s="811"/>
      <c r="J61" s="827">
        <f>PLS!BF78</f>
        <v>0</v>
      </c>
      <c r="K61" s="828"/>
      <c r="L61" s="828"/>
      <c r="M61" s="828"/>
      <c r="N61" s="828"/>
      <c r="O61" s="829"/>
      <c r="P61" s="830">
        <f>Proposta_Constr_Individual!AM145</f>
        <v>0</v>
      </c>
      <c r="Q61" s="831"/>
      <c r="R61" s="831"/>
      <c r="S61" s="831"/>
      <c r="T61" s="831"/>
      <c r="U61" s="831"/>
      <c r="V61" s="831"/>
      <c r="W61" s="828">
        <f>W60+P61</f>
        <v>0</v>
      </c>
      <c r="X61" s="828"/>
      <c r="Y61" s="828"/>
      <c r="Z61" s="828"/>
      <c r="AA61" s="828"/>
      <c r="AB61" s="828"/>
      <c r="AC61" s="829"/>
      <c r="AD61" s="830"/>
      <c r="AE61" s="831"/>
      <c r="AF61" s="831"/>
      <c r="AG61" s="831"/>
      <c r="AH61" s="831"/>
      <c r="AI61" s="831"/>
      <c r="AJ61" s="830"/>
      <c r="AK61" s="831"/>
      <c r="AL61" s="831"/>
      <c r="AM61" s="831"/>
      <c r="AN61" s="831">
        <f>AD61+AN60</f>
        <v>0</v>
      </c>
      <c r="AO61" s="831"/>
      <c r="AP61" s="831"/>
      <c r="AQ61" s="828">
        <f>AQ60+AJ61</f>
        <v>0</v>
      </c>
      <c r="AR61" s="828"/>
      <c r="AS61" s="828"/>
      <c r="AT61" s="828"/>
      <c r="AU61" s="828"/>
      <c r="AV61" s="828"/>
      <c r="AW61" s="829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</row>
    <row r="62" spans="1:156" ht="11.1" customHeight="1" x14ac:dyDescent="0.25">
      <c r="G62" s="809">
        <f>G61+1</f>
        <v>2</v>
      </c>
      <c r="H62" s="810"/>
      <c r="I62" s="811"/>
      <c r="J62" s="827">
        <f>PLS!BF79</f>
        <v>0</v>
      </c>
      <c r="K62" s="828"/>
      <c r="L62" s="828"/>
      <c r="M62" s="828"/>
      <c r="N62" s="828"/>
      <c r="O62" s="829"/>
      <c r="P62" s="830">
        <f>Proposta_Constr_Individual!AM146</f>
        <v>0</v>
      </c>
      <c r="Q62" s="831"/>
      <c r="R62" s="831"/>
      <c r="S62" s="831"/>
      <c r="T62" s="831"/>
      <c r="U62" s="831"/>
      <c r="V62" s="831"/>
      <c r="W62" s="828">
        <f t="shared" ref="W62:W96" si="0">W61+P62</f>
        <v>0</v>
      </c>
      <c r="X62" s="828"/>
      <c r="Y62" s="828"/>
      <c r="Z62" s="828"/>
      <c r="AA62" s="828"/>
      <c r="AB62" s="828"/>
      <c r="AC62" s="829"/>
      <c r="AD62" s="830"/>
      <c r="AE62" s="831"/>
      <c r="AF62" s="831"/>
      <c r="AG62" s="831"/>
      <c r="AH62" s="831"/>
      <c r="AI62" s="831"/>
      <c r="AJ62" s="830"/>
      <c r="AK62" s="831"/>
      <c r="AL62" s="831"/>
      <c r="AM62" s="831"/>
      <c r="AN62" s="831">
        <f t="shared" ref="AN62:AN96" si="1">AD62+AN61</f>
        <v>0</v>
      </c>
      <c r="AO62" s="831"/>
      <c r="AP62" s="831"/>
      <c r="AQ62" s="828">
        <f t="shared" ref="AQ62:AQ96" si="2">AQ61+AJ62</f>
        <v>0</v>
      </c>
      <c r="AR62" s="828"/>
      <c r="AS62" s="828"/>
      <c r="AT62" s="828"/>
      <c r="AU62" s="828"/>
      <c r="AV62" s="828"/>
      <c r="AW62" s="829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</row>
    <row r="63" spans="1:156" s="11" customFormat="1" ht="11.1" customHeight="1" x14ac:dyDescent="0.25">
      <c r="A63" s="8"/>
      <c r="B63" s="8"/>
      <c r="C63" s="8"/>
      <c r="D63" s="8"/>
      <c r="E63" s="9"/>
      <c r="F63" s="12"/>
      <c r="G63" s="809">
        <f>G62+1</f>
        <v>3</v>
      </c>
      <c r="H63" s="810"/>
      <c r="I63" s="811"/>
      <c r="J63" s="827">
        <f>PLS!BF80</f>
        <v>0</v>
      </c>
      <c r="K63" s="828"/>
      <c r="L63" s="828"/>
      <c r="M63" s="828"/>
      <c r="N63" s="828"/>
      <c r="O63" s="829"/>
      <c r="P63" s="830">
        <f>Proposta_Constr_Individual!AM147</f>
        <v>0</v>
      </c>
      <c r="Q63" s="831"/>
      <c r="R63" s="831"/>
      <c r="S63" s="831"/>
      <c r="T63" s="831"/>
      <c r="U63" s="831"/>
      <c r="V63" s="831"/>
      <c r="W63" s="828">
        <f t="shared" si="0"/>
        <v>0</v>
      </c>
      <c r="X63" s="828"/>
      <c r="Y63" s="828"/>
      <c r="Z63" s="828"/>
      <c r="AA63" s="828"/>
      <c r="AB63" s="828"/>
      <c r="AC63" s="829"/>
      <c r="AD63" s="830"/>
      <c r="AE63" s="831"/>
      <c r="AF63" s="831"/>
      <c r="AG63" s="831"/>
      <c r="AH63" s="831"/>
      <c r="AI63" s="831"/>
      <c r="AJ63" s="830"/>
      <c r="AK63" s="831"/>
      <c r="AL63" s="831"/>
      <c r="AM63" s="831"/>
      <c r="AN63" s="831">
        <f t="shared" si="1"/>
        <v>0</v>
      </c>
      <c r="AO63" s="831"/>
      <c r="AP63" s="831"/>
      <c r="AQ63" s="828">
        <f t="shared" si="2"/>
        <v>0</v>
      </c>
      <c r="AR63" s="828"/>
      <c r="AS63" s="828"/>
      <c r="AT63" s="828"/>
      <c r="AU63" s="828"/>
      <c r="AV63" s="828"/>
      <c r="AW63" s="829"/>
      <c r="AX63" s="12"/>
      <c r="AY63" s="12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M63" s="12"/>
      <c r="DN63" s="12"/>
      <c r="DO63" s="12"/>
      <c r="DP63" s="12"/>
      <c r="DQ63" s="12"/>
      <c r="DR63" s="12"/>
      <c r="DS63" s="12"/>
      <c r="DT63" s="12"/>
      <c r="DU63" s="12"/>
      <c r="DV63" s="12"/>
      <c r="DW63" s="12"/>
      <c r="DX63" s="12"/>
      <c r="DY63" s="12"/>
      <c r="DZ63" s="12"/>
      <c r="EA63" s="12"/>
      <c r="EB63" s="12"/>
      <c r="EC63" s="12"/>
      <c r="ED63" s="12"/>
      <c r="EE63" s="12"/>
      <c r="EF63" s="12"/>
      <c r="EG63" s="12"/>
      <c r="EH63" s="12"/>
      <c r="EI63" s="12"/>
      <c r="EJ63" s="12"/>
      <c r="EK63" s="12"/>
      <c r="EL63" s="12"/>
      <c r="EM63" s="12"/>
      <c r="EN63" s="12"/>
      <c r="EO63" s="12"/>
      <c r="EP63" s="12"/>
      <c r="EQ63" s="12"/>
      <c r="ER63" s="12"/>
      <c r="ES63" s="12"/>
      <c r="ET63" s="12"/>
      <c r="EU63" s="12"/>
      <c r="EV63" s="12"/>
      <c r="EW63" s="12"/>
      <c r="EX63" s="12"/>
      <c r="EY63" s="12"/>
      <c r="EZ63" s="12"/>
    </row>
    <row r="64" spans="1:156" s="11" customFormat="1" ht="11.1" customHeight="1" x14ac:dyDescent="0.25">
      <c r="A64" s="8"/>
      <c r="B64" s="8"/>
      <c r="C64" s="8"/>
      <c r="D64" s="8"/>
      <c r="E64" s="9"/>
      <c r="F64" s="12"/>
      <c r="G64" s="809">
        <f>G63+1</f>
        <v>4</v>
      </c>
      <c r="H64" s="810"/>
      <c r="I64" s="811"/>
      <c r="J64" s="827">
        <f>PLS!BF81</f>
        <v>0</v>
      </c>
      <c r="K64" s="828"/>
      <c r="L64" s="828"/>
      <c r="M64" s="828"/>
      <c r="N64" s="828"/>
      <c r="O64" s="829"/>
      <c r="P64" s="830">
        <f>Proposta_Constr_Individual!AM148</f>
        <v>0</v>
      </c>
      <c r="Q64" s="831"/>
      <c r="R64" s="831"/>
      <c r="S64" s="831"/>
      <c r="T64" s="831"/>
      <c r="U64" s="831"/>
      <c r="V64" s="831"/>
      <c r="W64" s="828">
        <f t="shared" si="0"/>
        <v>0</v>
      </c>
      <c r="X64" s="828"/>
      <c r="Y64" s="828"/>
      <c r="Z64" s="828"/>
      <c r="AA64" s="828"/>
      <c r="AB64" s="828"/>
      <c r="AC64" s="829"/>
      <c r="AD64" s="830"/>
      <c r="AE64" s="831"/>
      <c r="AF64" s="831"/>
      <c r="AG64" s="831"/>
      <c r="AH64" s="831"/>
      <c r="AI64" s="831"/>
      <c r="AJ64" s="830"/>
      <c r="AK64" s="831"/>
      <c r="AL64" s="831"/>
      <c r="AM64" s="831"/>
      <c r="AN64" s="831">
        <f t="shared" si="1"/>
        <v>0</v>
      </c>
      <c r="AO64" s="831"/>
      <c r="AP64" s="831"/>
      <c r="AQ64" s="828">
        <f t="shared" si="2"/>
        <v>0</v>
      </c>
      <c r="AR64" s="828"/>
      <c r="AS64" s="828"/>
      <c r="AT64" s="828"/>
      <c r="AU64" s="828"/>
      <c r="AV64" s="828"/>
      <c r="AW64" s="829"/>
      <c r="AX64" s="12"/>
      <c r="AY64" s="12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M64" s="12"/>
      <c r="DN64" s="12"/>
      <c r="DO64" s="12"/>
      <c r="DP64" s="12"/>
      <c r="DQ64" s="12"/>
      <c r="DR64" s="12"/>
      <c r="DS64" s="12"/>
      <c r="DT64" s="12"/>
      <c r="DU64" s="12"/>
      <c r="DV64" s="12"/>
      <c r="DW64" s="12"/>
      <c r="DX64" s="12"/>
      <c r="DY64" s="12"/>
      <c r="DZ64" s="12"/>
      <c r="EA64" s="12"/>
      <c r="EB64" s="12"/>
      <c r="EC64" s="12"/>
      <c r="ED64" s="12"/>
      <c r="EE64" s="12"/>
      <c r="EF64" s="12"/>
      <c r="EG64" s="12"/>
      <c r="EH64" s="12"/>
      <c r="EI64" s="12"/>
      <c r="EJ64" s="12"/>
      <c r="EK64" s="12"/>
      <c r="EL64" s="12"/>
      <c r="EM64" s="12"/>
      <c r="EN64" s="12"/>
      <c r="EO64" s="12"/>
      <c r="EP64" s="12"/>
      <c r="EQ64" s="12"/>
      <c r="ER64" s="12"/>
      <c r="ES64" s="12"/>
      <c r="ET64" s="12"/>
      <c r="EU64" s="12"/>
      <c r="EV64" s="12"/>
      <c r="EW64" s="12"/>
      <c r="EX64" s="12"/>
      <c r="EY64" s="12"/>
      <c r="EZ64" s="12"/>
    </row>
    <row r="65" spans="1:156" s="11" customFormat="1" ht="11.1" customHeight="1" x14ac:dyDescent="0.25">
      <c r="A65" s="8"/>
      <c r="B65" s="8"/>
      <c r="C65" s="8"/>
      <c r="D65" s="8"/>
      <c r="E65" s="9"/>
      <c r="F65" s="12"/>
      <c r="G65" s="809">
        <f>G64+1</f>
        <v>5</v>
      </c>
      <c r="H65" s="810"/>
      <c r="I65" s="811"/>
      <c r="J65" s="827">
        <f>PLS!BF82</f>
        <v>0</v>
      </c>
      <c r="K65" s="828"/>
      <c r="L65" s="828"/>
      <c r="M65" s="828"/>
      <c r="N65" s="828"/>
      <c r="O65" s="829"/>
      <c r="P65" s="830">
        <f>Proposta_Constr_Individual!AM149</f>
        <v>0</v>
      </c>
      <c r="Q65" s="831"/>
      <c r="R65" s="831"/>
      <c r="S65" s="831"/>
      <c r="T65" s="831"/>
      <c r="U65" s="831"/>
      <c r="V65" s="831"/>
      <c r="W65" s="828">
        <f t="shared" si="0"/>
        <v>0</v>
      </c>
      <c r="X65" s="828"/>
      <c r="Y65" s="828"/>
      <c r="Z65" s="828"/>
      <c r="AA65" s="828"/>
      <c r="AB65" s="828"/>
      <c r="AC65" s="829"/>
      <c r="AD65" s="830"/>
      <c r="AE65" s="831"/>
      <c r="AF65" s="831"/>
      <c r="AG65" s="831"/>
      <c r="AH65" s="831"/>
      <c r="AI65" s="831"/>
      <c r="AJ65" s="830"/>
      <c r="AK65" s="831"/>
      <c r="AL65" s="831"/>
      <c r="AM65" s="831"/>
      <c r="AN65" s="831">
        <f t="shared" si="1"/>
        <v>0</v>
      </c>
      <c r="AO65" s="831"/>
      <c r="AP65" s="831"/>
      <c r="AQ65" s="828">
        <f t="shared" si="2"/>
        <v>0</v>
      </c>
      <c r="AR65" s="828"/>
      <c r="AS65" s="828"/>
      <c r="AT65" s="828"/>
      <c r="AU65" s="828"/>
      <c r="AV65" s="828"/>
      <c r="AW65" s="829"/>
      <c r="AX65" s="12"/>
      <c r="AY65" s="12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M65" s="12"/>
      <c r="DN65" s="12"/>
      <c r="DO65" s="12"/>
      <c r="DP65" s="12"/>
      <c r="DQ65" s="12"/>
      <c r="DR65" s="12"/>
      <c r="DS65" s="12"/>
      <c r="DT65" s="12"/>
      <c r="DU65" s="12"/>
      <c r="DV65" s="12"/>
      <c r="DW65" s="12"/>
      <c r="DX65" s="12"/>
      <c r="DY65" s="12"/>
      <c r="DZ65" s="12"/>
      <c r="EA65" s="12"/>
      <c r="EB65" s="12"/>
      <c r="EC65" s="12"/>
      <c r="ED65" s="12"/>
      <c r="EE65" s="12"/>
      <c r="EF65" s="12"/>
      <c r="EG65" s="12"/>
      <c r="EH65" s="12"/>
      <c r="EI65" s="12"/>
      <c r="EJ65" s="12"/>
      <c r="EK65" s="12"/>
      <c r="EL65" s="12"/>
      <c r="EM65" s="12"/>
      <c r="EN65" s="12"/>
      <c r="EO65" s="12"/>
      <c r="EP65" s="12"/>
      <c r="EQ65" s="12"/>
      <c r="ER65" s="12"/>
      <c r="ES65" s="12"/>
      <c r="ET65" s="12"/>
      <c r="EU65" s="12"/>
      <c r="EV65" s="12"/>
      <c r="EW65" s="12"/>
      <c r="EX65" s="12"/>
      <c r="EY65" s="12"/>
      <c r="EZ65" s="12"/>
    </row>
    <row r="66" spans="1:156" s="11" customFormat="1" ht="11.1" customHeight="1" x14ac:dyDescent="0.25">
      <c r="A66" s="8"/>
      <c r="B66" s="8"/>
      <c r="C66" s="8"/>
      <c r="D66" s="8"/>
      <c r="E66" s="9"/>
      <c r="F66" s="12"/>
      <c r="G66" s="809">
        <f>G65+1</f>
        <v>6</v>
      </c>
      <c r="H66" s="810"/>
      <c r="I66" s="811"/>
      <c r="J66" s="827">
        <f>PLS!BF83</f>
        <v>0</v>
      </c>
      <c r="K66" s="828"/>
      <c r="L66" s="828"/>
      <c r="M66" s="828"/>
      <c r="N66" s="828"/>
      <c r="O66" s="829"/>
      <c r="P66" s="830">
        <f>Proposta_Constr_Individual!AM150</f>
        <v>0</v>
      </c>
      <c r="Q66" s="831"/>
      <c r="R66" s="831"/>
      <c r="S66" s="831"/>
      <c r="T66" s="831"/>
      <c r="U66" s="831"/>
      <c r="V66" s="831"/>
      <c r="W66" s="828">
        <f t="shared" si="0"/>
        <v>0</v>
      </c>
      <c r="X66" s="828"/>
      <c r="Y66" s="828"/>
      <c r="Z66" s="828"/>
      <c r="AA66" s="828"/>
      <c r="AB66" s="828"/>
      <c r="AC66" s="829"/>
      <c r="AD66" s="830"/>
      <c r="AE66" s="831"/>
      <c r="AF66" s="831"/>
      <c r="AG66" s="831"/>
      <c r="AH66" s="831"/>
      <c r="AI66" s="831"/>
      <c r="AJ66" s="830"/>
      <c r="AK66" s="831"/>
      <c r="AL66" s="831"/>
      <c r="AM66" s="831"/>
      <c r="AN66" s="831">
        <f t="shared" si="1"/>
        <v>0</v>
      </c>
      <c r="AO66" s="831"/>
      <c r="AP66" s="831"/>
      <c r="AQ66" s="828">
        <f t="shared" si="2"/>
        <v>0</v>
      </c>
      <c r="AR66" s="828"/>
      <c r="AS66" s="828"/>
      <c r="AT66" s="828"/>
      <c r="AU66" s="828"/>
      <c r="AV66" s="828"/>
      <c r="AW66" s="829"/>
      <c r="AX66" s="12"/>
      <c r="AY66" s="12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M66" s="12"/>
      <c r="DN66" s="12"/>
      <c r="DO66" s="12"/>
      <c r="DP66" s="12"/>
      <c r="DQ66" s="12"/>
      <c r="DR66" s="12"/>
      <c r="DS66" s="12"/>
      <c r="DT66" s="12"/>
      <c r="DU66" s="12"/>
      <c r="DV66" s="12"/>
      <c r="DW66" s="12"/>
      <c r="DX66" s="12"/>
      <c r="DY66" s="12"/>
      <c r="DZ66" s="12"/>
      <c r="EA66" s="12"/>
      <c r="EB66" s="12"/>
      <c r="EC66" s="12"/>
      <c r="ED66" s="12"/>
      <c r="EE66" s="12"/>
      <c r="EF66" s="12"/>
      <c r="EG66" s="12"/>
      <c r="EH66" s="12"/>
      <c r="EI66" s="12"/>
      <c r="EJ66" s="12"/>
      <c r="EK66" s="12"/>
      <c r="EL66" s="12"/>
      <c r="EM66" s="12"/>
      <c r="EN66" s="12"/>
      <c r="EO66" s="12"/>
      <c r="EP66" s="12"/>
      <c r="EQ66" s="12"/>
      <c r="ER66" s="12"/>
      <c r="ES66" s="12"/>
      <c r="ET66" s="12"/>
      <c r="EU66" s="12"/>
      <c r="EV66" s="12"/>
      <c r="EW66" s="12"/>
      <c r="EX66" s="12"/>
      <c r="EY66" s="12"/>
      <c r="EZ66" s="12"/>
    </row>
    <row r="67" spans="1:156" s="11" customFormat="1" ht="11.1" customHeight="1" x14ac:dyDescent="0.25">
      <c r="A67" s="8"/>
      <c r="B67" s="8"/>
      <c r="C67" s="8"/>
      <c r="D67" s="8"/>
      <c r="E67" s="9"/>
      <c r="F67" s="12"/>
      <c r="G67" s="809">
        <f t="shared" ref="G67:G96" si="3">G66+1</f>
        <v>7</v>
      </c>
      <c r="H67" s="810"/>
      <c r="I67" s="811"/>
      <c r="J67" s="827">
        <f>PLS!BF84</f>
        <v>0</v>
      </c>
      <c r="K67" s="828"/>
      <c r="L67" s="828"/>
      <c r="M67" s="828"/>
      <c r="N67" s="828"/>
      <c r="O67" s="829"/>
      <c r="P67" s="830">
        <f>Proposta_Constr_Individual!AM151</f>
        <v>0</v>
      </c>
      <c r="Q67" s="831"/>
      <c r="R67" s="831"/>
      <c r="S67" s="831"/>
      <c r="T67" s="831"/>
      <c r="U67" s="831"/>
      <c r="V67" s="831"/>
      <c r="W67" s="828">
        <f t="shared" si="0"/>
        <v>0</v>
      </c>
      <c r="X67" s="828"/>
      <c r="Y67" s="828"/>
      <c r="Z67" s="828"/>
      <c r="AA67" s="828"/>
      <c r="AB67" s="828"/>
      <c r="AC67" s="829"/>
      <c r="AD67" s="830"/>
      <c r="AE67" s="831"/>
      <c r="AF67" s="831"/>
      <c r="AG67" s="831"/>
      <c r="AH67" s="831"/>
      <c r="AI67" s="831"/>
      <c r="AJ67" s="830"/>
      <c r="AK67" s="831"/>
      <c r="AL67" s="831"/>
      <c r="AM67" s="831"/>
      <c r="AN67" s="831">
        <f t="shared" si="1"/>
        <v>0</v>
      </c>
      <c r="AO67" s="831"/>
      <c r="AP67" s="831"/>
      <c r="AQ67" s="828">
        <f t="shared" si="2"/>
        <v>0</v>
      </c>
      <c r="AR67" s="828"/>
      <c r="AS67" s="828"/>
      <c r="AT67" s="828"/>
      <c r="AU67" s="828"/>
      <c r="AV67" s="828"/>
      <c r="AW67" s="829"/>
      <c r="AX67" s="12"/>
      <c r="AY67" s="12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M67" s="12"/>
      <c r="DN67" s="12"/>
      <c r="DO67" s="12"/>
      <c r="DP67" s="12"/>
      <c r="DQ67" s="12"/>
      <c r="DR67" s="12"/>
      <c r="DS67" s="12"/>
      <c r="DT67" s="12"/>
      <c r="DU67" s="12"/>
      <c r="DV67" s="12"/>
      <c r="DW67" s="12"/>
      <c r="DX67" s="12"/>
      <c r="DY67" s="12"/>
      <c r="DZ67" s="12"/>
      <c r="EA67" s="12"/>
      <c r="EB67" s="12"/>
      <c r="EC67" s="12"/>
      <c r="ED67" s="12"/>
      <c r="EE67" s="12"/>
      <c r="EF67" s="12"/>
      <c r="EG67" s="12"/>
      <c r="EH67" s="12"/>
      <c r="EI67" s="12"/>
      <c r="EJ67" s="12"/>
      <c r="EK67" s="12"/>
      <c r="EL67" s="12"/>
      <c r="EM67" s="12"/>
      <c r="EN67" s="12"/>
      <c r="EO67" s="12"/>
      <c r="EP67" s="12"/>
      <c r="EQ67" s="12"/>
      <c r="ER67" s="12"/>
      <c r="ES67" s="12"/>
      <c r="ET67" s="12"/>
      <c r="EU67" s="12"/>
      <c r="EV67" s="12"/>
      <c r="EW67" s="12"/>
      <c r="EX67" s="12"/>
      <c r="EY67" s="12"/>
      <c r="EZ67" s="12"/>
    </row>
    <row r="68" spans="1:156" s="11" customFormat="1" ht="11.1" customHeight="1" x14ac:dyDescent="0.25">
      <c r="A68" s="8"/>
      <c r="B68" s="8"/>
      <c r="C68" s="8"/>
      <c r="D68" s="8"/>
      <c r="E68" s="9"/>
      <c r="F68" s="12"/>
      <c r="G68" s="809">
        <f t="shared" si="3"/>
        <v>8</v>
      </c>
      <c r="H68" s="810"/>
      <c r="I68" s="811"/>
      <c r="J68" s="827">
        <f>PLS!BF85</f>
        <v>0</v>
      </c>
      <c r="K68" s="828"/>
      <c r="L68" s="828"/>
      <c r="M68" s="828"/>
      <c r="N68" s="828"/>
      <c r="O68" s="829"/>
      <c r="P68" s="830">
        <f>Proposta_Constr_Individual!AM152</f>
        <v>0</v>
      </c>
      <c r="Q68" s="831"/>
      <c r="R68" s="831"/>
      <c r="S68" s="831"/>
      <c r="T68" s="831"/>
      <c r="U68" s="831"/>
      <c r="V68" s="831"/>
      <c r="W68" s="828">
        <f t="shared" si="0"/>
        <v>0</v>
      </c>
      <c r="X68" s="828"/>
      <c r="Y68" s="828"/>
      <c r="Z68" s="828"/>
      <c r="AA68" s="828"/>
      <c r="AB68" s="828"/>
      <c r="AC68" s="829"/>
      <c r="AD68" s="830"/>
      <c r="AE68" s="831"/>
      <c r="AF68" s="831"/>
      <c r="AG68" s="831"/>
      <c r="AH68" s="831"/>
      <c r="AI68" s="831"/>
      <c r="AJ68" s="830"/>
      <c r="AK68" s="831"/>
      <c r="AL68" s="831"/>
      <c r="AM68" s="831"/>
      <c r="AN68" s="831">
        <f t="shared" si="1"/>
        <v>0</v>
      </c>
      <c r="AO68" s="831"/>
      <c r="AP68" s="831"/>
      <c r="AQ68" s="828">
        <f t="shared" si="2"/>
        <v>0</v>
      </c>
      <c r="AR68" s="828"/>
      <c r="AS68" s="828"/>
      <c r="AT68" s="828"/>
      <c r="AU68" s="828"/>
      <c r="AV68" s="828"/>
      <c r="AW68" s="829"/>
      <c r="AX68" s="12"/>
      <c r="AY68" s="12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M68" s="12"/>
      <c r="DN68" s="12"/>
      <c r="DO68" s="12"/>
      <c r="DP68" s="12"/>
      <c r="DQ68" s="12"/>
      <c r="DR68" s="12"/>
      <c r="DS68" s="12"/>
      <c r="DT68" s="12"/>
      <c r="DU68" s="12"/>
      <c r="DV68" s="12"/>
      <c r="DW68" s="12"/>
      <c r="DX68" s="12"/>
      <c r="DY68" s="12"/>
      <c r="DZ68" s="12"/>
      <c r="EA68" s="12"/>
      <c r="EB68" s="12"/>
      <c r="EC68" s="12"/>
      <c r="ED68" s="12"/>
      <c r="EE68" s="12"/>
      <c r="EF68" s="12"/>
      <c r="EG68" s="12"/>
      <c r="EH68" s="12"/>
      <c r="EI68" s="12"/>
      <c r="EJ68" s="12"/>
      <c r="EK68" s="12"/>
      <c r="EL68" s="12"/>
      <c r="EM68" s="12"/>
      <c r="EN68" s="12"/>
      <c r="EO68" s="12"/>
      <c r="EP68" s="12"/>
      <c r="EQ68" s="12"/>
      <c r="ER68" s="12"/>
      <c r="ES68" s="12"/>
      <c r="ET68" s="12"/>
      <c r="EU68" s="12"/>
      <c r="EV68" s="12"/>
      <c r="EW68" s="12"/>
      <c r="EX68" s="12"/>
      <c r="EY68" s="12"/>
      <c r="EZ68" s="12"/>
    </row>
    <row r="69" spans="1:156" s="11" customFormat="1" ht="11.1" customHeight="1" x14ac:dyDescent="0.25">
      <c r="A69" s="8"/>
      <c r="B69" s="8"/>
      <c r="C69" s="8"/>
      <c r="D69" s="8"/>
      <c r="E69" s="9"/>
      <c r="F69" s="12"/>
      <c r="G69" s="809">
        <f t="shared" si="3"/>
        <v>9</v>
      </c>
      <c r="H69" s="810"/>
      <c r="I69" s="811"/>
      <c r="J69" s="827">
        <f>PLS!BF86</f>
        <v>0</v>
      </c>
      <c r="K69" s="828"/>
      <c r="L69" s="828"/>
      <c r="M69" s="828"/>
      <c r="N69" s="828"/>
      <c r="O69" s="829"/>
      <c r="P69" s="830">
        <f>Proposta_Constr_Individual!AM153</f>
        <v>0</v>
      </c>
      <c r="Q69" s="831"/>
      <c r="R69" s="831"/>
      <c r="S69" s="831"/>
      <c r="T69" s="831"/>
      <c r="U69" s="831"/>
      <c r="V69" s="831"/>
      <c r="W69" s="828">
        <f t="shared" si="0"/>
        <v>0</v>
      </c>
      <c r="X69" s="828"/>
      <c r="Y69" s="828"/>
      <c r="Z69" s="828"/>
      <c r="AA69" s="828"/>
      <c r="AB69" s="828"/>
      <c r="AC69" s="829"/>
      <c r="AD69" s="830"/>
      <c r="AE69" s="831"/>
      <c r="AF69" s="831"/>
      <c r="AG69" s="831"/>
      <c r="AH69" s="831"/>
      <c r="AI69" s="831"/>
      <c r="AJ69" s="830"/>
      <c r="AK69" s="831"/>
      <c r="AL69" s="831"/>
      <c r="AM69" s="831"/>
      <c r="AN69" s="831">
        <f t="shared" si="1"/>
        <v>0</v>
      </c>
      <c r="AO69" s="831"/>
      <c r="AP69" s="831"/>
      <c r="AQ69" s="828">
        <f t="shared" si="2"/>
        <v>0</v>
      </c>
      <c r="AR69" s="828"/>
      <c r="AS69" s="828"/>
      <c r="AT69" s="828"/>
      <c r="AU69" s="828"/>
      <c r="AV69" s="828"/>
      <c r="AW69" s="829"/>
      <c r="AX69" s="12"/>
      <c r="AY69" s="12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M69" s="12"/>
      <c r="DN69" s="12"/>
      <c r="DO69" s="12"/>
      <c r="DP69" s="12"/>
      <c r="DQ69" s="12"/>
      <c r="DR69" s="12"/>
      <c r="DS69" s="12"/>
      <c r="DT69" s="12"/>
      <c r="DU69" s="12"/>
      <c r="DV69" s="12"/>
      <c r="DW69" s="12"/>
      <c r="DX69" s="12"/>
      <c r="DY69" s="12"/>
      <c r="DZ69" s="12"/>
      <c r="EA69" s="12"/>
      <c r="EB69" s="12"/>
      <c r="EC69" s="12"/>
      <c r="ED69" s="12"/>
      <c r="EE69" s="12"/>
      <c r="EF69" s="12"/>
      <c r="EG69" s="12"/>
      <c r="EH69" s="12"/>
      <c r="EI69" s="12"/>
      <c r="EJ69" s="12"/>
      <c r="EK69" s="12"/>
      <c r="EL69" s="12"/>
      <c r="EM69" s="12"/>
      <c r="EN69" s="12"/>
      <c r="EO69" s="12"/>
      <c r="EP69" s="12"/>
      <c r="EQ69" s="12"/>
      <c r="ER69" s="12"/>
      <c r="ES69" s="12"/>
      <c r="ET69" s="12"/>
      <c r="EU69" s="12"/>
      <c r="EV69" s="12"/>
      <c r="EW69" s="12"/>
      <c r="EX69" s="12"/>
      <c r="EY69" s="12"/>
      <c r="EZ69" s="12"/>
    </row>
    <row r="70" spans="1:156" s="11" customFormat="1" ht="11.1" customHeight="1" x14ac:dyDescent="0.25">
      <c r="A70" s="8"/>
      <c r="B70" s="8"/>
      <c r="C70" s="8"/>
      <c r="D70" s="8"/>
      <c r="E70" s="9"/>
      <c r="F70" s="12"/>
      <c r="G70" s="809">
        <f t="shared" si="3"/>
        <v>10</v>
      </c>
      <c r="H70" s="810"/>
      <c r="I70" s="811"/>
      <c r="J70" s="827">
        <f>PLS!BF87</f>
        <v>0</v>
      </c>
      <c r="K70" s="828"/>
      <c r="L70" s="828"/>
      <c r="M70" s="828"/>
      <c r="N70" s="828"/>
      <c r="O70" s="829"/>
      <c r="P70" s="830">
        <f>Proposta_Constr_Individual!AM154</f>
        <v>0</v>
      </c>
      <c r="Q70" s="831"/>
      <c r="R70" s="831"/>
      <c r="S70" s="831"/>
      <c r="T70" s="831"/>
      <c r="U70" s="831"/>
      <c r="V70" s="831"/>
      <c r="W70" s="828">
        <f t="shared" si="0"/>
        <v>0</v>
      </c>
      <c r="X70" s="828"/>
      <c r="Y70" s="828"/>
      <c r="Z70" s="828"/>
      <c r="AA70" s="828"/>
      <c r="AB70" s="828"/>
      <c r="AC70" s="829"/>
      <c r="AD70" s="830"/>
      <c r="AE70" s="831"/>
      <c r="AF70" s="831"/>
      <c r="AG70" s="831"/>
      <c r="AH70" s="831"/>
      <c r="AI70" s="831"/>
      <c r="AJ70" s="830"/>
      <c r="AK70" s="831"/>
      <c r="AL70" s="831"/>
      <c r="AM70" s="831"/>
      <c r="AN70" s="831">
        <f t="shared" si="1"/>
        <v>0</v>
      </c>
      <c r="AO70" s="831"/>
      <c r="AP70" s="831"/>
      <c r="AQ70" s="828">
        <f t="shared" si="2"/>
        <v>0</v>
      </c>
      <c r="AR70" s="828"/>
      <c r="AS70" s="828"/>
      <c r="AT70" s="828"/>
      <c r="AU70" s="828"/>
      <c r="AV70" s="828"/>
      <c r="AW70" s="829"/>
      <c r="AX70" s="12"/>
      <c r="AY70" s="12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M70" s="12"/>
      <c r="DN70" s="12"/>
      <c r="DO70" s="12"/>
      <c r="DP70" s="12"/>
      <c r="DQ70" s="12"/>
      <c r="DR70" s="12"/>
      <c r="DS70" s="12"/>
      <c r="DT70" s="12"/>
      <c r="DU70" s="12"/>
      <c r="DV70" s="12"/>
      <c r="DW70" s="12"/>
      <c r="DX70" s="12"/>
      <c r="DY70" s="12"/>
      <c r="DZ70" s="12"/>
      <c r="EA70" s="12"/>
      <c r="EB70" s="12"/>
      <c r="EC70" s="12"/>
      <c r="ED70" s="12"/>
      <c r="EE70" s="12"/>
      <c r="EF70" s="12"/>
      <c r="EG70" s="12"/>
      <c r="EH70" s="12"/>
      <c r="EI70" s="12"/>
      <c r="EJ70" s="12"/>
      <c r="EK70" s="12"/>
      <c r="EL70" s="12"/>
      <c r="EM70" s="12"/>
      <c r="EN70" s="12"/>
      <c r="EO70" s="12"/>
      <c r="EP70" s="12"/>
      <c r="EQ70" s="12"/>
      <c r="ER70" s="12"/>
      <c r="ES70" s="12"/>
      <c r="ET70" s="12"/>
      <c r="EU70" s="12"/>
      <c r="EV70" s="12"/>
      <c r="EW70" s="12"/>
      <c r="EX70" s="12"/>
      <c r="EY70" s="12"/>
      <c r="EZ70" s="12"/>
    </row>
    <row r="71" spans="1:156" s="11" customFormat="1" ht="11.1" customHeight="1" x14ac:dyDescent="0.25">
      <c r="A71" s="8"/>
      <c r="B71" s="8"/>
      <c r="C71" s="8"/>
      <c r="D71" s="8"/>
      <c r="E71" s="9"/>
      <c r="F71" s="12"/>
      <c r="G71" s="809">
        <f t="shared" si="3"/>
        <v>11</v>
      </c>
      <c r="H71" s="810"/>
      <c r="I71" s="811"/>
      <c r="J71" s="827">
        <f>PLS!BF88</f>
        <v>0</v>
      </c>
      <c r="K71" s="828"/>
      <c r="L71" s="828"/>
      <c r="M71" s="828"/>
      <c r="N71" s="828"/>
      <c r="O71" s="829"/>
      <c r="P71" s="830">
        <f>Proposta_Constr_Individual!AM155</f>
        <v>0</v>
      </c>
      <c r="Q71" s="831"/>
      <c r="R71" s="831"/>
      <c r="S71" s="831"/>
      <c r="T71" s="831"/>
      <c r="U71" s="831"/>
      <c r="V71" s="831"/>
      <c r="W71" s="828">
        <f t="shared" si="0"/>
        <v>0</v>
      </c>
      <c r="X71" s="828"/>
      <c r="Y71" s="828"/>
      <c r="Z71" s="828"/>
      <c r="AA71" s="828"/>
      <c r="AB71" s="828"/>
      <c r="AC71" s="829"/>
      <c r="AD71" s="830"/>
      <c r="AE71" s="831"/>
      <c r="AF71" s="831"/>
      <c r="AG71" s="831"/>
      <c r="AH71" s="831"/>
      <c r="AI71" s="831"/>
      <c r="AJ71" s="830"/>
      <c r="AK71" s="831"/>
      <c r="AL71" s="831"/>
      <c r="AM71" s="831"/>
      <c r="AN71" s="831">
        <f t="shared" si="1"/>
        <v>0</v>
      </c>
      <c r="AO71" s="831"/>
      <c r="AP71" s="831"/>
      <c r="AQ71" s="828">
        <f t="shared" si="2"/>
        <v>0</v>
      </c>
      <c r="AR71" s="828"/>
      <c r="AS71" s="828"/>
      <c r="AT71" s="828"/>
      <c r="AU71" s="828"/>
      <c r="AV71" s="828"/>
      <c r="AW71" s="829"/>
      <c r="AX71" s="12"/>
      <c r="AY71" s="12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M71" s="12"/>
      <c r="DN71" s="12"/>
      <c r="DO71" s="12"/>
      <c r="DP71" s="12"/>
      <c r="DQ71" s="12"/>
      <c r="DR71" s="12"/>
      <c r="DS71" s="12"/>
      <c r="DT71" s="12"/>
      <c r="DU71" s="12"/>
      <c r="DV71" s="12"/>
      <c r="DW71" s="12"/>
      <c r="DX71" s="12"/>
      <c r="DY71" s="12"/>
      <c r="DZ71" s="12"/>
      <c r="EA71" s="12"/>
      <c r="EB71" s="12"/>
      <c r="EC71" s="12"/>
      <c r="ED71" s="12"/>
      <c r="EE71" s="12"/>
      <c r="EF71" s="12"/>
      <c r="EG71" s="12"/>
      <c r="EH71" s="12"/>
      <c r="EI71" s="12"/>
      <c r="EJ71" s="12"/>
      <c r="EK71" s="12"/>
      <c r="EL71" s="12"/>
      <c r="EM71" s="12"/>
      <c r="EN71" s="12"/>
      <c r="EO71" s="12"/>
      <c r="EP71" s="12"/>
      <c r="EQ71" s="12"/>
      <c r="ER71" s="12"/>
      <c r="ES71" s="12"/>
      <c r="ET71" s="12"/>
      <c r="EU71" s="12"/>
      <c r="EV71" s="12"/>
      <c r="EW71" s="12"/>
      <c r="EX71" s="12"/>
      <c r="EY71" s="12"/>
      <c r="EZ71" s="12"/>
    </row>
    <row r="72" spans="1:156" s="11" customFormat="1" ht="11.1" customHeight="1" x14ac:dyDescent="0.25">
      <c r="A72" s="8"/>
      <c r="B72" s="8"/>
      <c r="C72" s="8"/>
      <c r="D72" s="8"/>
      <c r="E72" s="9"/>
      <c r="F72" s="12"/>
      <c r="G72" s="809">
        <f t="shared" si="3"/>
        <v>12</v>
      </c>
      <c r="H72" s="810"/>
      <c r="I72" s="811"/>
      <c r="J72" s="827">
        <f>PLS!BF89</f>
        <v>0</v>
      </c>
      <c r="K72" s="828"/>
      <c r="L72" s="828"/>
      <c r="M72" s="828"/>
      <c r="N72" s="828"/>
      <c r="O72" s="829"/>
      <c r="P72" s="830">
        <f>Proposta_Constr_Individual!AM156</f>
        <v>0</v>
      </c>
      <c r="Q72" s="831"/>
      <c r="R72" s="831"/>
      <c r="S72" s="831"/>
      <c r="T72" s="831"/>
      <c r="U72" s="831"/>
      <c r="V72" s="831"/>
      <c r="W72" s="828">
        <f t="shared" si="0"/>
        <v>0</v>
      </c>
      <c r="X72" s="828"/>
      <c r="Y72" s="828"/>
      <c r="Z72" s="828"/>
      <c r="AA72" s="828"/>
      <c r="AB72" s="828"/>
      <c r="AC72" s="829"/>
      <c r="AD72" s="830"/>
      <c r="AE72" s="831"/>
      <c r="AF72" s="831"/>
      <c r="AG72" s="831"/>
      <c r="AH72" s="831"/>
      <c r="AI72" s="831"/>
      <c r="AJ72" s="830"/>
      <c r="AK72" s="831"/>
      <c r="AL72" s="831"/>
      <c r="AM72" s="831"/>
      <c r="AN72" s="831">
        <f t="shared" si="1"/>
        <v>0</v>
      </c>
      <c r="AO72" s="831"/>
      <c r="AP72" s="831"/>
      <c r="AQ72" s="828">
        <f t="shared" si="2"/>
        <v>0</v>
      </c>
      <c r="AR72" s="828"/>
      <c r="AS72" s="828"/>
      <c r="AT72" s="828"/>
      <c r="AU72" s="828"/>
      <c r="AV72" s="828"/>
      <c r="AW72" s="829"/>
      <c r="AX72" s="12"/>
      <c r="AY72" s="12"/>
      <c r="BR72" s="5"/>
      <c r="BS72" s="5"/>
      <c r="BT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M72" s="12"/>
      <c r="DN72" s="12"/>
      <c r="DO72" s="12"/>
      <c r="DP72" s="12"/>
      <c r="DQ72" s="12"/>
      <c r="DR72" s="12"/>
      <c r="DS72" s="12"/>
      <c r="DT72" s="12"/>
      <c r="DU72" s="12"/>
      <c r="DV72" s="12"/>
      <c r="DW72" s="12"/>
      <c r="DX72" s="12"/>
      <c r="DY72" s="12"/>
      <c r="DZ72" s="12"/>
      <c r="EA72" s="12"/>
      <c r="EB72" s="12"/>
      <c r="EC72" s="12"/>
      <c r="ED72" s="12"/>
      <c r="EE72" s="12"/>
      <c r="EF72" s="12"/>
      <c r="EG72" s="12"/>
      <c r="EH72" s="12"/>
      <c r="EI72" s="12"/>
      <c r="EJ72" s="12"/>
      <c r="EK72" s="12"/>
      <c r="EL72" s="12"/>
      <c r="EM72" s="12"/>
      <c r="EN72" s="12"/>
      <c r="EO72" s="12"/>
      <c r="EP72" s="12"/>
      <c r="EQ72" s="12"/>
      <c r="ER72" s="12"/>
      <c r="ES72" s="12"/>
      <c r="ET72" s="12"/>
      <c r="EU72" s="12"/>
      <c r="EV72" s="12"/>
      <c r="EW72" s="12"/>
      <c r="EX72" s="12"/>
      <c r="EY72" s="12"/>
      <c r="EZ72" s="12"/>
    </row>
    <row r="73" spans="1:156" s="11" customFormat="1" ht="11.1" customHeight="1" x14ac:dyDescent="0.25">
      <c r="A73" s="8"/>
      <c r="B73" s="8"/>
      <c r="C73" s="8"/>
      <c r="D73" s="8"/>
      <c r="E73" s="9"/>
      <c r="F73" s="12"/>
      <c r="G73" s="809">
        <f t="shared" si="3"/>
        <v>13</v>
      </c>
      <c r="H73" s="810"/>
      <c r="I73" s="811"/>
      <c r="J73" s="827">
        <f>PLS!BF90</f>
        <v>0</v>
      </c>
      <c r="K73" s="828"/>
      <c r="L73" s="828"/>
      <c r="M73" s="828"/>
      <c r="N73" s="828"/>
      <c r="O73" s="829"/>
      <c r="P73" s="830">
        <f>Proposta_Constr_Individual!AM157</f>
        <v>0</v>
      </c>
      <c r="Q73" s="831"/>
      <c r="R73" s="831"/>
      <c r="S73" s="831"/>
      <c r="T73" s="831"/>
      <c r="U73" s="831"/>
      <c r="V73" s="831"/>
      <c r="W73" s="828">
        <f t="shared" si="0"/>
        <v>0</v>
      </c>
      <c r="X73" s="828"/>
      <c r="Y73" s="828"/>
      <c r="Z73" s="828"/>
      <c r="AA73" s="828"/>
      <c r="AB73" s="828"/>
      <c r="AC73" s="829"/>
      <c r="AD73" s="830"/>
      <c r="AE73" s="831"/>
      <c r="AF73" s="831"/>
      <c r="AG73" s="831"/>
      <c r="AH73" s="831"/>
      <c r="AI73" s="831"/>
      <c r="AJ73" s="830"/>
      <c r="AK73" s="831"/>
      <c r="AL73" s="831"/>
      <c r="AM73" s="831"/>
      <c r="AN73" s="831">
        <f t="shared" si="1"/>
        <v>0</v>
      </c>
      <c r="AO73" s="831"/>
      <c r="AP73" s="831"/>
      <c r="AQ73" s="828">
        <f t="shared" si="2"/>
        <v>0</v>
      </c>
      <c r="AR73" s="828"/>
      <c r="AS73" s="828"/>
      <c r="AT73" s="828"/>
      <c r="AU73" s="828"/>
      <c r="AV73" s="828"/>
      <c r="AW73" s="829"/>
      <c r="AX73" s="12"/>
      <c r="AY73" s="12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M73" s="12"/>
      <c r="DN73" s="12"/>
      <c r="DO73" s="12"/>
      <c r="DP73" s="12"/>
      <c r="DQ73" s="12"/>
      <c r="DR73" s="12"/>
      <c r="DS73" s="12"/>
      <c r="DT73" s="12"/>
      <c r="DU73" s="12"/>
      <c r="DV73" s="12"/>
      <c r="DW73" s="12"/>
      <c r="DX73" s="12"/>
      <c r="DY73" s="12"/>
      <c r="DZ73" s="12"/>
      <c r="EA73" s="12"/>
      <c r="EB73" s="12"/>
      <c r="EC73" s="12"/>
      <c r="ED73" s="12"/>
      <c r="EE73" s="12"/>
      <c r="EF73" s="12"/>
      <c r="EG73" s="12"/>
      <c r="EH73" s="12"/>
      <c r="EI73" s="12"/>
      <c r="EJ73" s="12"/>
      <c r="EK73" s="12"/>
      <c r="EL73" s="12"/>
      <c r="EM73" s="12"/>
      <c r="EN73" s="12"/>
      <c r="EO73" s="12"/>
      <c r="EP73" s="12"/>
      <c r="EQ73" s="12"/>
      <c r="ER73" s="12"/>
      <c r="ES73" s="12"/>
      <c r="ET73" s="12"/>
      <c r="EU73" s="12"/>
      <c r="EV73" s="12"/>
      <c r="EW73" s="12"/>
      <c r="EX73" s="12"/>
      <c r="EY73" s="12"/>
      <c r="EZ73" s="12"/>
    </row>
    <row r="74" spans="1:156" s="11" customFormat="1" ht="11.1" customHeight="1" x14ac:dyDescent="0.25">
      <c r="A74" s="8"/>
      <c r="B74" s="8"/>
      <c r="C74" s="8"/>
      <c r="D74" s="8"/>
      <c r="E74" s="9"/>
      <c r="F74" s="12"/>
      <c r="G74" s="809">
        <f t="shared" si="3"/>
        <v>14</v>
      </c>
      <c r="H74" s="810"/>
      <c r="I74" s="811"/>
      <c r="J74" s="827">
        <f>PLS!BF91</f>
        <v>0</v>
      </c>
      <c r="K74" s="828"/>
      <c r="L74" s="828"/>
      <c r="M74" s="828"/>
      <c r="N74" s="828"/>
      <c r="O74" s="829"/>
      <c r="P74" s="830">
        <f>Proposta_Constr_Individual!AM158</f>
        <v>0</v>
      </c>
      <c r="Q74" s="831"/>
      <c r="R74" s="831"/>
      <c r="S74" s="831"/>
      <c r="T74" s="831"/>
      <c r="U74" s="831"/>
      <c r="V74" s="831"/>
      <c r="W74" s="828">
        <f t="shared" si="0"/>
        <v>0</v>
      </c>
      <c r="X74" s="828"/>
      <c r="Y74" s="828"/>
      <c r="Z74" s="828"/>
      <c r="AA74" s="828"/>
      <c r="AB74" s="828"/>
      <c r="AC74" s="829"/>
      <c r="AD74" s="830"/>
      <c r="AE74" s="831"/>
      <c r="AF74" s="831"/>
      <c r="AG74" s="831"/>
      <c r="AH74" s="831"/>
      <c r="AI74" s="831"/>
      <c r="AJ74" s="830"/>
      <c r="AK74" s="831"/>
      <c r="AL74" s="831"/>
      <c r="AM74" s="831"/>
      <c r="AN74" s="831">
        <f t="shared" si="1"/>
        <v>0</v>
      </c>
      <c r="AO74" s="831"/>
      <c r="AP74" s="831"/>
      <c r="AQ74" s="828">
        <f t="shared" si="2"/>
        <v>0</v>
      </c>
      <c r="AR74" s="828"/>
      <c r="AS74" s="828"/>
      <c r="AT74" s="828"/>
      <c r="AU74" s="828"/>
      <c r="AV74" s="828"/>
      <c r="AW74" s="829"/>
      <c r="AX74" s="12"/>
      <c r="AY74" s="12"/>
      <c r="BR74" s="5"/>
      <c r="BS74" s="5"/>
      <c r="BT74" s="5"/>
      <c r="CK74" s="5"/>
      <c r="CL74" s="5"/>
      <c r="CM74" s="5"/>
      <c r="CN74" s="5"/>
      <c r="CO74" s="5"/>
      <c r="CP74" s="5"/>
      <c r="DQ74" s="12"/>
      <c r="DR74" s="12"/>
      <c r="DS74" s="12"/>
      <c r="DT74" s="12"/>
      <c r="DU74" s="12"/>
      <c r="DV74" s="12"/>
      <c r="DW74" s="12"/>
      <c r="DX74" s="12"/>
      <c r="DY74" s="12"/>
      <c r="DZ74" s="12"/>
      <c r="EA74" s="12"/>
      <c r="EB74" s="12"/>
      <c r="EC74" s="12"/>
      <c r="ED74" s="12"/>
      <c r="EE74" s="12"/>
      <c r="EF74" s="12"/>
      <c r="EG74" s="12"/>
      <c r="EH74" s="12"/>
      <c r="EI74" s="12"/>
      <c r="EJ74" s="12"/>
      <c r="EK74" s="12"/>
      <c r="EL74" s="12"/>
      <c r="EM74" s="12"/>
      <c r="EN74" s="12"/>
      <c r="EO74" s="12"/>
      <c r="EP74" s="12"/>
      <c r="EQ74" s="12"/>
      <c r="ER74" s="12"/>
      <c r="ES74" s="12"/>
      <c r="ET74" s="12"/>
      <c r="EU74" s="12"/>
      <c r="EV74" s="12"/>
      <c r="EW74" s="12"/>
      <c r="EX74" s="12"/>
      <c r="EY74" s="12"/>
      <c r="EZ74" s="12"/>
    </row>
    <row r="75" spans="1:156" s="11" customFormat="1" ht="11.1" customHeight="1" x14ac:dyDescent="0.25">
      <c r="A75" s="8"/>
      <c r="B75" s="8"/>
      <c r="C75" s="8"/>
      <c r="D75" s="8"/>
      <c r="E75" s="9"/>
      <c r="F75" s="12"/>
      <c r="G75" s="809">
        <f t="shared" si="3"/>
        <v>15</v>
      </c>
      <c r="H75" s="810"/>
      <c r="I75" s="811"/>
      <c r="J75" s="827">
        <f>PLS!BF92</f>
        <v>0</v>
      </c>
      <c r="K75" s="828"/>
      <c r="L75" s="828"/>
      <c r="M75" s="828"/>
      <c r="N75" s="828"/>
      <c r="O75" s="829"/>
      <c r="P75" s="830">
        <f>Proposta_Constr_Individual!AM159</f>
        <v>0</v>
      </c>
      <c r="Q75" s="831"/>
      <c r="R75" s="831"/>
      <c r="S75" s="831"/>
      <c r="T75" s="831"/>
      <c r="U75" s="831"/>
      <c r="V75" s="831"/>
      <c r="W75" s="828">
        <f t="shared" si="0"/>
        <v>0</v>
      </c>
      <c r="X75" s="828"/>
      <c r="Y75" s="828"/>
      <c r="Z75" s="828"/>
      <c r="AA75" s="828"/>
      <c r="AB75" s="828"/>
      <c r="AC75" s="829"/>
      <c r="AD75" s="830"/>
      <c r="AE75" s="831"/>
      <c r="AF75" s="831"/>
      <c r="AG75" s="831"/>
      <c r="AH75" s="831"/>
      <c r="AI75" s="831"/>
      <c r="AJ75" s="830"/>
      <c r="AK75" s="831"/>
      <c r="AL75" s="831"/>
      <c r="AM75" s="831"/>
      <c r="AN75" s="831">
        <f t="shared" si="1"/>
        <v>0</v>
      </c>
      <c r="AO75" s="831"/>
      <c r="AP75" s="831"/>
      <c r="AQ75" s="828">
        <f t="shared" si="2"/>
        <v>0</v>
      </c>
      <c r="AR75" s="828"/>
      <c r="AS75" s="828"/>
      <c r="AT75" s="828"/>
      <c r="AU75" s="828"/>
      <c r="AV75" s="828"/>
      <c r="AW75" s="829"/>
      <c r="AX75" s="12"/>
      <c r="AY75" s="12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M75" s="12"/>
      <c r="DN75" s="12"/>
      <c r="DO75" s="12"/>
      <c r="DP75" s="12"/>
      <c r="DQ75" s="12"/>
      <c r="DR75" s="12"/>
      <c r="DS75" s="12"/>
      <c r="DT75" s="12"/>
      <c r="DU75" s="12"/>
      <c r="DV75" s="12"/>
      <c r="DW75" s="12"/>
      <c r="DX75" s="12"/>
      <c r="DY75" s="12"/>
      <c r="DZ75" s="12"/>
      <c r="EA75" s="12"/>
      <c r="EB75" s="12"/>
      <c r="EC75" s="12"/>
      <c r="ED75" s="12"/>
      <c r="EE75" s="12"/>
      <c r="EF75" s="12"/>
      <c r="EG75" s="12"/>
      <c r="EH75" s="12"/>
      <c r="EI75" s="12"/>
      <c r="EJ75" s="12"/>
      <c r="EK75" s="12"/>
      <c r="EL75" s="12"/>
      <c r="EM75" s="12"/>
      <c r="EN75" s="12"/>
      <c r="EO75" s="12"/>
      <c r="EP75" s="12"/>
      <c r="EQ75" s="12"/>
      <c r="ER75" s="12"/>
      <c r="ES75" s="12"/>
      <c r="ET75" s="12"/>
      <c r="EU75" s="12"/>
      <c r="EV75" s="12"/>
      <c r="EW75" s="12"/>
      <c r="EX75" s="12"/>
      <c r="EY75" s="12"/>
      <c r="EZ75" s="12"/>
    </row>
    <row r="76" spans="1:156" s="11" customFormat="1" ht="11.1" customHeight="1" x14ac:dyDescent="0.25">
      <c r="A76" s="8"/>
      <c r="B76" s="8"/>
      <c r="C76" s="8"/>
      <c r="D76" s="8"/>
      <c r="E76" s="9"/>
      <c r="F76" s="12"/>
      <c r="G76" s="809">
        <f t="shared" si="3"/>
        <v>16</v>
      </c>
      <c r="H76" s="810"/>
      <c r="I76" s="811"/>
      <c r="J76" s="827">
        <f>PLS!BF93</f>
        <v>0</v>
      </c>
      <c r="K76" s="828"/>
      <c r="L76" s="828"/>
      <c r="M76" s="828"/>
      <c r="N76" s="828"/>
      <c r="O76" s="829"/>
      <c r="P76" s="830">
        <f>Proposta_Constr_Individual!AM160</f>
        <v>0</v>
      </c>
      <c r="Q76" s="831"/>
      <c r="R76" s="831"/>
      <c r="S76" s="831"/>
      <c r="T76" s="831"/>
      <c r="U76" s="831"/>
      <c r="V76" s="831"/>
      <c r="W76" s="828">
        <f t="shared" si="0"/>
        <v>0</v>
      </c>
      <c r="X76" s="828"/>
      <c r="Y76" s="828"/>
      <c r="Z76" s="828"/>
      <c r="AA76" s="828"/>
      <c r="AB76" s="828"/>
      <c r="AC76" s="829"/>
      <c r="AD76" s="830"/>
      <c r="AE76" s="831"/>
      <c r="AF76" s="831"/>
      <c r="AG76" s="831"/>
      <c r="AH76" s="831"/>
      <c r="AI76" s="831"/>
      <c r="AJ76" s="830"/>
      <c r="AK76" s="831"/>
      <c r="AL76" s="831"/>
      <c r="AM76" s="831"/>
      <c r="AN76" s="831">
        <f t="shared" si="1"/>
        <v>0</v>
      </c>
      <c r="AO76" s="831"/>
      <c r="AP76" s="831"/>
      <c r="AQ76" s="828">
        <f t="shared" si="2"/>
        <v>0</v>
      </c>
      <c r="AR76" s="828"/>
      <c r="AS76" s="828"/>
      <c r="AT76" s="828"/>
      <c r="AU76" s="828"/>
      <c r="AV76" s="828"/>
      <c r="AW76" s="829"/>
      <c r="AX76" s="12"/>
      <c r="AY76" s="12"/>
      <c r="BB76" s="88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M76" s="12"/>
      <c r="DN76" s="12"/>
      <c r="DO76" s="12"/>
      <c r="DP76" s="12"/>
      <c r="DQ76" s="12"/>
      <c r="DR76" s="12"/>
      <c r="DS76" s="12"/>
      <c r="DT76" s="12"/>
      <c r="DU76" s="12"/>
      <c r="DV76" s="12"/>
      <c r="DW76" s="12"/>
      <c r="DX76" s="12"/>
      <c r="DY76" s="12"/>
      <c r="DZ76" s="12"/>
      <c r="EA76" s="12"/>
      <c r="EB76" s="12"/>
      <c r="EC76" s="12"/>
      <c r="ED76" s="12"/>
      <c r="EE76" s="12"/>
      <c r="EF76" s="12"/>
      <c r="EG76" s="12"/>
      <c r="EH76" s="12"/>
      <c r="EI76" s="12"/>
      <c r="EJ76" s="12"/>
      <c r="EK76" s="12"/>
      <c r="EL76" s="12"/>
      <c r="EM76" s="12"/>
      <c r="EN76" s="12"/>
      <c r="EO76" s="12"/>
      <c r="EP76" s="12"/>
      <c r="EQ76" s="12"/>
      <c r="ER76" s="12"/>
      <c r="ES76" s="12"/>
      <c r="ET76" s="12"/>
      <c r="EU76" s="12"/>
      <c r="EV76" s="12"/>
      <c r="EW76" s="12"/>
      <c r="EX76" s="12"/>
      <c r="EY76" s="12"/>
      <c r="EZ76" s="12"/>
    </row>
    <row r="77" spans="1:156" s="11" customFormat="1" ht="11.1" customHeight="1" x14ac:dyDescent="0.25">
      <c r="A77" s="8"/>
      <c r="B77" s="8"/>
      <c r="C77" s="8"/>
      <c r="D77" s="8"/>
      <c r="E77" s="9"/>
      <c r="F77" s="12"/>
      <c r="G77" s="809">
        <f t="shared" si="3"/>
        <v>17</v>
      </c>
      <c r="H77" s="810"/>
      <c r="I77" s="811"/>
      <c r="J77" s="827">
        <f>PLS!BF94</f>
        <v>0</v>
      </c>
      <c r="K77" s="828"/>
      <c r="L77" s="828"/>
      <c r="M77" s="828"/>
      <c r="N77" s="828"/>
      <c r="O77" s="829"/>
      <c r="P77" s="830">
        <f>Proposta_Constr_Individual!AM161</f>
        <v>0</v>
      </c>
      <c r="Q77" s="831"/>
      <c r="R77" s="831"/>
      <c r="S77" s="831"/>
      <c r="T77" s="831"/>
      <c r="U77" s="831"/>
      <c r="V77" s="831"/>
      <c r="W77" s="828">
        <f t="shared" si="0"/>
        <v>0</v>
      </c>
      <c r="X77" s="828"/>
      <c r="Y77" s="828"/>
      <c r="Z77" s="828"/>
      <c r="AA77" s="828"/>
      <c r="AB77" s="828"/>
      <c r="AC77" s="829"/>
      <c r="AD77" s="830"/>
      <c r="AE77" s="831"/>
      <c r="AF77" s="831"/>
      <c r="AG77" s="831"/>
      <c r="AH77" s="831"/>
      <c r="AI77" s="831"/>
      <c r="AJ77" s="830"/>
      <c r="AK77" s="831"/>
      <c r="AL77" s="831"/>
      <c r="AM77" s="831"/>
      <c r="AN77" s="831">
        <f t="shared" si="1"/>
        <v>0</v>
      </c>
      <c r="AO77" s="831"/>
      <c r="AP77" s="831"/>
      <c r="AQ77" s="828">
        <f t="shared" si="2"/>
        <v>0</v>
      </c>
      <c r="AR77" s="828"/>
      <c r="AS77" s="828"/>
      <c r="AT77" s="828"/>
      <c r="AU77" s="828"/>
      <c r="AV77" s="828"/>
      <c r="AW77" s="829"/>
      <c r="AX77" s="12"/>
      <c r="AY77" s="12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M77" s="12"/>
      <c r="DN77" s="12"/>
      <c r="DO77" s="12"/>
      <c r="DP77" s="12"/>
      <c r="DQ77" s="12"/>
      <c r="DR77" s="12"/>
      <c r="DS77" s="12"/>
      <c r="DT77" s="12"/>
      <c r="DU77" s="12"/>
      <c r="DV77" s="12"/>
      <c r="DW77" s="12"/>
      <c r="DX77" s="12"/>
      <c r="DY77" s="12"/>
      <c r="DZ77" s="12"/>
      <c r="EA77" s="12"/>
      <c r="EB77" s="12"/>
      <c r="EC77" s="12"/>
      <c r="ED77" s="12"/>
      <c r="EE77" s="12"/>
      <c r="EF77" s="12"/>
      <c r="EG77" s="12"/>
      <c r="EH77" s="12"/>
      <c r="EI77" s="12"/>
      <c r="EJ77" s="12"/>
      <c r="EK77" s="12"/>
      <c r="EL77" s="12"/>
      <c r="EM77" s="12"/>
      <c r="EN77" s="12"/>
      <c r="EO77" s="12"/>
      <c r="EP77" s="12"/>
      <c r="EQ77" s="12"/>
      <c r="ER77" s="12"/>
      <c r="ES77" s="12"/>
      <c r="ET77" s="12"/>
      <c r="EU77" s="12"/>
      <c r="EV77" s="12"/>
      <c r="EW77" s="12"/>
      <c r="EX77" s="12"/>
      <c r="EY77" s="12"/>
      <c r="EZ77" s="12"/>
    </row>
    <row r="78" spans="1:156" s="11" customFormat="1" ht="11.1" customHeight="1" x14ac:dyDescent="0.25">
      <c r="A78" s="8"/>
      <c r="B78" s="8"/>
      <c r="C78" s="8"/>
      <c r="D78" s="8"/>
      <c r="E78" s="9"/>
      <c r="F78" s="12"/>
      <c r="G78" s="809">
        <f t="shared" si="3"/>
        <v>18</v>
      </c>
      <c r="H78" s="810"/>
      <c r="I78" s="811"/>
      <c r="J78" s="827">
        <f>PLS!BF95</f>
        <v>0</v>
      </c>
      <c r="K78" s="828"/>
      <c r="L78" s="828"/>
      <c r="M78" s="828"/>
      <c r="N78" s="828"/>
      <c r="O78" s="829"/>
      <c r="P78" s="830">
        <f>Proposta_Constr_Individual!AM162</f>
        <v>0</v>
      </c>
      <c r="Q78" s="831"/>
      <c r="R78" s="831"/>
      <c r="S78" s="831"/>
      <c r="T78" s="831"/>
      <c r="U78" s="831"/>
      <c r="V78" s="831"/>
      <c r="W78" s="828">
        <f t="shared" si="0"/>
        <v>0</v>
      </c>
      <c r="X78" s="828"/>
      <c r="Y78" s="828"/>
      <c r="Z78" s="828"/>
      <c r="AA78" s="828"/>
      <c r="AB78" s="828"/>
      <c r="AC78" s="829"/>
      <c r="AD78" s="830"/>
      <c r="AE78" s="831"/>
      <c r="AF78" s="831"/>
      <c r="AG78" s="831"/>
      <c r="AH78" s="831"/>
      <c r="AI78" s="831"/>
      <c r="AJ78" s="830"/>
      <c r="AK78" s="831"/>
      <c r="AL78" s="831"/>
      <c r="AM78" s="831"/>
      <c r="AN78" s="831">
        <f t="shared" si="1"/>
        <v>0</v>
      </c>
      <c r="AO78" s="831"/>
      <c r="AP78" s="831"/>
      <c r="AQ78" s="828">
        <f t="shared" si="2"/>
        <v>0</v>
      </c>
      <c r="AR78" s="828"/>
      <c r="AS78" s="828"/>
      <c r="AT78" s="828"/>
      <c r="AU78" s="828"/>
      <c r="AV78" s="828"/>
      <c r="AW78" s="829"/>
      <c r="AX78" s="12"/>
      <c r="AY78" s="12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DG78" s="5"/>
      <c r="DH78" s="5"/>
      <c r="DI78" s="5"/>
      <c r="DM78" s="12"/>
      <c r="DN78" s="12"/>
      <c r="DO78" s="12"/>
      <c r="DP78" s="12"/>
      <c r="DQ78" s="12"/>
      <c r="DR78" s="12"/>
      <c r="DS78" s="12"/>
      <c r="DT78" s="12"/>
      <c r="DU78" s="12"/>
      <c r="DV78" s="12"/>
      <c r="DW78" s="12"/>
      <c r="DX78" s="12"/>
      <c r="DY78" s="12"/>
      <c r="DZ78" s="12"/>
      <c r="EA78" s="12"/>
      <c r="EB78" s="12"/>
      <c r="EC78" s="12"/>
      <c r="ED78" s="12"/>
      <c r="EE78" s="12"/>
      <c r="EF78" s="12"/>
      <c r="EG78" s="12"/>
      <c r="EH78" s="12"/>
      <c r="EI78" s="12"/>
      <c r="EJ78" s="12"/>
      <c r="EK78" s="12"/>
      <c r="EL78" s="12"/>
      <c r="EM78" s="12"/>
      <c r="EN78" s="12"/>
      <c r="EO78" s="12"/>
      <c r="EP78" s="12"/>
      <c r="EQ78" s="12"/>
      <c r="ER78" s="12"/>
      <c r="ES78" s="12"/>
      <c r="ET78" s="12"/>
      <c r="EU78" s="12"/>
      <c r="EV78" s="12"/>
      <c r="EW78" s="12"/>
      <c r="EX78" s="12"/>
      <c r="EY78" s="12"/>
      <c r="EZ78" s="12"/>
    </row>
    <row r="79" spans="1:156" s="11" customFormat="1" ht="11.1" customHeight="1" x14ac:dyDescent="0.25">
      <c r="A79" s="8"/>
      <c r="B79" s="8"/>
      <c r="C79" s="8"/>
      <c r="D79" s="8"/>
      <c r="E79" s="9"/>
      <c r="F79" s="12"/>
      <c r="G79" s="809">
        <f t="shared" si="3"/>
        <v>19</v>
      </c>
      <c r="H79" s="810"/>
      <c r="I79" s="811"/>
      <c r="J79" s="827">
        <f>PLS!BF96</f>
        <v>0</v>
      </c>
      <c r="K79" s="828"/>
      <c r="L79" s="828"/>
      <c r="M79" s="828"/>
      <c r="N79" s="828"/>
      <c r="O79" s="829"/>
      <c r="P79" s="830">
        <f>Proposta_Constr_Individual!AM163</f>
        <v>0</v>
      </c>
      <c r="Q79" s="831"/>
      <c r="R79" s="831"/>
      <c r="S79" s="831"/>
      <c r="T79" s="831"/>
      <c r="U79" s="831"/>
      <c r="V79" s="831"/>
      <c r="W79" s="828">
        <f t="shared" si="0"/>
        <v>0</v>
      </c>
      <c r="X79" s="828"/>
      <c r="Y79" s="828"/>
      <c r="Z79" s="828"/>
      <c r="AA79" s="828"/>
      <c r="AB79" s="828"/>
      <c r="AC79" s="829"/>
      <c r="AD79" s="830"/>
      <c r="AE79" s="831"/>
      <c r="AF79" s="831"/>
      <c r="AG79" s="831"/>
      <c r="AH79" s="831"/>
      <c r="AI79" s="831"/>
      <c r="AJ79" s="830"/>
      <c r="AK79" s="831"/>
      <c r="AL79" s="831"/>
      <c r="AM79" s="831"/>
      <c r="AN79" s="831">
        <f t="shared" si="1"/>
        <v>0</v>
      </c>
      <c r="AO79" s="831"/>
      <c r="AP79" s="831"/>
      <c r="AQ79" s="828">
        <f t="shared" si="2"/>
        <v>0</v>
      </c>
      <c r="AR79" s="828"/>
      <c r="AS79" s="828"/>
      <c r="AT79" s="828"/>
      <c r="AU79" s="828"/>
      <c r="AV79" s="828"/>
      <c r="AW79" s="829"/>
      <c r="AX79" s="12"/>
      <c r="AY79" s="12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R79" s="5"/>
      <c r="BS79" s="5"/>
      <c r="BT79" s="5"/>
      <c r="DG79" s="5"/>
      <c r="DH79" s="5"/>
      <c r="DI79" s="5"/>
      <c r="DM79" s="12"/>
      <c r="DN79" s="12"/>
      <c r="DO79" s="12"/>
      <c r="DP79" s="12"/>
      <c r="DQ79" s="12"/>
      <c r="DR79" s="12"/>
      <c r="DS79" s="12"/>
      <c r="DT79" s="12"/>
      <c r="DU79" s="12"/>
      <c r="DV79" s="12"/>
      <c r="DW79" s="12"/>
      <c r="DX79" s="12"/>
      <c r="DY79" s="12"/>
      <c r="DZ79" s="12"/>
      <c r="EA79" s="12"/>
      <c r="EB79" s="12"/>
      <c r="EC79" s="12"/>
      <c r="ED79" s="12"/>
      <c r="EE79" s="12"/>
      <c r="EF79" s="12"/>
      <c r="EG79" s="12"/>
      <c r="EH79" s="12"/>
      <c r="EI79" s="12"/>
      <c r="EJ79" s="12"/>
      <c r="EK79" s="12"/>
      <c r="EL79" s="12"/>
      <c r="EM79" s="12"/>
      <c r="EN79" s="12"/>
      <c r="EO79" s="12"/>
      <c r="EP79" s="12"/>
      <c r="EQ79" s="12"/>
      <c r="ER79" s="12"/>
      <c r="ES79" s="12"/>
      <c r="ET79" s="12"/>
      <c r="EU79" s="12"/>
      <c r="EV79" s="12"/>
      <c r="EW79" s="12"/>
      <c r="EX79" s="12"/>
      <c r="EY79" s="12"/>
      <c r="EZ79" s="12"/>
    </row>
    <row r="80" spans="1:156" s="11" customFormat="1" ht="11.1" customHeight="1" x14ac:dyDescent="0.25">
      <c r="A80" s="8"/>
      <c r="B80" s="8"/>
      <c r="C80" s="8"/>
      <c r="D80" s="8"/>
      <c r="E80" s="9"/>
      <c r="F80" s="12"/>
      <c r="G80" s="809">
        <f t="shared" si="3"/>
        <v>20</v>
      </c>
      <c r="H80" s="810"/>
      <c r="I80" s="811"/>
      <c r="J80" s="827">
        <f>PLS!BF97</f>
        <v>0</v>
      </c>
      <c r="K80" s="828"/>
      <c r="L80" s="828"/>
      <c r="M80" s="828"/>
      <c r="N80" s="828"/>
      <c r="O80" s="829"/>
      <c r="P80" s="830">
        <f>Proposta_Constr_Individual!AM164</f>
        <v>0</v>
      </c>
      <c r="Q80" s="831"/>
      <c r="R80" s="831"/>
      <c r="S80" s="831"/>
      <c r="T80" s="831"/>
      <c r="U80" s="831"/>
      <c r="V80" s="831"/>
      <c r="W80" s="828">
        <f t="shared" si="0"/>
        <v>0</v>
      </c>
      <c r="X80" s="828"/>
      <c r="Y80" s="828"/>
      <c r="Z80" s="828"/>
      <c r="AA80" s="828"/>
      <c r="AB80" s="828"/>
      <c r="AC80" s="829"/>
      <c r="AD80" s="830"/>
      <c r="AE80" s="831"/>
      <c r="AF80" s="831"/>
      <c r="AG80" s="831"/>
      <c r="AH80" s="831"/>
      <c r="AI80" s="831"/>
      <c r="AJ80" s="830"/>
      <c r="AK80" s="831"/>
      <c r="AL80" s="831"/>
      <c r="AM80" s="831"/>
      <c r="AN80" s="831">
        <f t="shared" si="1"/>
        <v>0</v>
      </c>
      <c r="AO80" s="831"/>
      <c r="AP80" s="831"/>
      <c r="AQ80" s="828">
        <f t="shared" si="2"/>
        <v>0</v>
      </c>
      <c r="AR80" s="828"/>
      <c r="AS80" s="828"/>
      <c r="AT80" s="828"/>
      <c r="AU80" s="828"/>
      <c r="AV80" s="828"/>
      <c r="AW80" s="829"/>
      <c r="AX80" s="64" t="e">
        <f>IF(J80="","",IF(J80&gt;#REF!,"Excede máximo - justifique",IF(J80&lt;#REF!,"Abaixo do mínimo","OK")))</f>
        <v>#REF!</v>
      </c>
      <c r="AY80" s="12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DG80" s="5"/>
      <c r="DH80" s="5"/>
      <c r="DI80" s="5"/>
      <c r="DM80" s="12"/>
      <c r="DN80" s="12"/>
      <c r="DO80" s="12"/>
      <c r="DP80" s="12"/>
      <c r="DQ80" s="12"/>
      <c r="DR80" s="12"/>
      <c r="DS80" s="12"/>
      <c r="DT80" s="12"/>
      <c r="DU80" s="12"/>
      <c r="DV80" s="12"/>
      <c r="DW80" s="12"/>
      <c r="DX80" s="12"/>
      <c r="DY80" s="12"/>
      <c r="DZ80" s="12"/>
      <c r="EA80" s="12"/>
      <c r="EB80" s="12"/>
      <c r="EC80" s="12"/>
      <c r="ED80" s="12"/>
      <c r="EE80" s="12"/>
      <c r="EF80" s="12"/>
      <c r="EG80" s="12"/>
      <c r="EH80" s="12"/>
      <c r="EI80" s="12"/>
      <c r="EJ80" s="12"/>
      <c r="EK80" s="12"/>
      <c r="EL80" s="12"/>
      <c r="EM80" s="12"/>
      <c r="EN80" s="12"/>
      <c r="EO80" s="12"/>
      <c r="EP80" s="12"/>
      <c r="EQ80" s="12"/>
      <c r="ER80" s="12"/>
      <c r="ES80" s="12"/>
      <c r="ET80" s="12"/>
      <c r="EU80" s="12"/>
      <c r="EV80" s="12"/>
      <c r="EW80" s="12"/>
      <c r="EX80" s="12"/>
      <c r="EY80" s="12"/>
      <c r="EZ80" s="12"/>
    </row>
    <row r="81" spans="1:156" s="11" customFormat="1" ht="11.1" customHeight="1" x14ac:dyDescent="0.25">
      <c r="A81" s="8"/>
      <c r="B81" s="8"/>
      <c r="C81" s="8"/>
      <c r="D81" s="8"/>
      <c r="E81" s="9"/>
      <c r="F81" s="12"/>
      <c r="G81" s="809">
        <f t="shared" si="3"/>
        <v>21</v>
      </c>
      <c r="H81" s="810"/>
      <c r="I81" s="811"/>
      <c r="J81" s="827">
        <f>PLS!BF98</f>
        <v>0</v>
      </c>
      <c r="K81" s="828"/>
      <c r="L81" s="828"/>
      <c r="M81" s="828"/>
      <c r="N81" s="828"/>
      <c r="O81" s="829"/>
      <c r="P81" s="830">
        <f>Proposta_Constr_Individual!AM165</f>
        <v>0</v>
      </c>
      <c r="Q81" s="831"/>
      <c r="R81" s="831"/>
      <c r="S81" s="831"/>
      <c r="T81" s="831"/>
      <c r="U81" s="831"/>
      <c r="V81" s="831"/>
      <c r="W81" s="828">
        <f t="shared" si="0"/>
        <v>0</v>
      </c>
      <c r="X81" s="828"/>
      <c r="Y81" s="828"/>
      <c r="Z81" s="828"/>
      <c r="AA81" s="828"/>
      <c r="AB81" s="828"/>
      <c r="AC81" s="829"/>
      <c r="AD81" s="830"/>
      <c r="AE81" s="831"/>
      <c r="AF81" s="831"/>
      <c r="AG81" s="831"/>
      <c r="AH81" s="831"/>
      <c r="AI81" s="831"/>
      <c r="AJ81" s="830"/>
      <c r="AK81" s="831"/>
      <c r="AL81" s="831"/>
      <c r="AM81" s="831"/>
      <c r="AN81" s="831">
        <f t="shared" si="1"/>
        <v>0</v>
      </c>
      <c r="AO81" s="831"/>
      <c r="AP81" s="831"/>
      <c r="AQ81" s="828">
        <f t="shared" si="2"/>
        <v>0</v>
      </c>
      <c r="AR81" s="828"/>
      <c r="AS81" s="828"/>
      <c r="AT81" s="828"/>
      <c r="AU81" s="828"/>
      <c r="AV81" s="828"/>
      <c r="AW81" s="829"/>
      <c r="AX81" s="12"/>
      <c r="AY81" s="12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M81" s="12"/>
      <c r="DN81" s="12"/>
      <c r="DO81" s="12"/>
      <c r="DP81" s="12"/>
      <c r="DQ81" s="12"/>
      <c r="DR81" s="12"/>
      <c r="DS81" s="12"/>
      <c r="DT81" s="12"/>
      <c r="DU81" s="12"/>
      <c r="DV81" s="12"/>
      <c r="DW81" s="12"/>
      <c r="DX81" s="12"/>
      <c r="DY81" s="12"/>
      <c r="DZ81" s="12"/>
      <c r="EA81" s="12"/>
      <c r="EB81" s="12"/>
      <c r="EC81" s="12"/>
      <c r="ED81" s="12"/>
      <c r="EE81" s="12"/>
      <c r="EF81" s="12"/>
      <c r="EG81" s="12"/>
      <c r="EH81" s="12"/>
      <c r="EI81" s="12"/>
      <c r="EJ81" s="12"/>
      <c r="EK81" s="12"/>
      <c r="EL81" s="12"/>
      <c r="EM81" s="12"/>
      <c r="EN81" s="12"/>
      <c r="EO81" s="12"/>
      <c r="EP81" s="12"/>
      <c r="EQ81" s="12"/>
      <c r="ER81" s="12"/>
      <c r="ES81" s="12"/>
      <c r="ET81" s="12"/>
      <c r="EU81" s="12"/>
      <c r="EV81" s="12"/>
      <c r="EW81" s="12"/>
      <c r="EX81" s="12"/>
      <c r="EY81" s="12"/>
      <c r="EZ81" s="12"/>
    </row>
    <row r="82" spans="1:156" s="11" customFormat="1" ht="11.1" customHeight="1" x14ac:dyDescent="0.25">
      <c r="A82" s="8"/>
      <c r="B82" s="8"/>
      <c r="C82" s="8"/>
      <c r="D82" s="8"/>
      <c r="E82" s="9"/>
      <c r="F82" s="12"/>
      <c r="G82" s="809">
        <f t="shared" si="3"/>
        <v>22</v>
      </c>
      <c r="H82" s="810"/>
      <c r="I82" s="811"/>
      <c r="J82" s="827">
        <f>PLS!BF99</f>
        <v>0</v>
      </c>
      <c r="K82" s="828"/>
      <c r="L82" s="828"/>
      <c r="M82" s="828"/>
      <c r="N82" s="828"/>
      <c r="O82" s="829"/>
      <c r="P82" s="830">
        <f>Proposta_Constr_Individual!AM166</f>
        <v>0</v>
      </c>
      <c r="Q82" s="831"/>
      <c r="R82" s="831"/>
      <c r="S82" s="831"/>
      <c r="T82" s="831"/>
      <c r="U82" s="831"/>
      <c r="V82" s="831"/>
      <c r="W82" s="828">
        <f t="shared" si="0"/>
        <v>0</v>
      </c>
      <c r="X82" s="828"/>
      <c r="Y82" s="828"/>
      <c r="Z82" s="828"/>
      <c r="AA82" s="828"/>
      <c r="AB82" s="828"/>
      <c r="AC82" s="829"/>
      <c r="AD82" s="830"/>
      <c r="AE82" s="831"/>
      <c r="AF82" s="831"/>
      <c r="AG82" s="831"/>
      <c r="AH82" s="831"/>
      <c r="AI82" s="831"/>
      <c r="AJ82" s="830"/>
      <c r="AK82" s="831"/>
      <c r="AL82" s="831"/>
      <c r="AM82" s="831"/>
      <c r="AN82" s="831">
        <f t="shared" si="1"/>
        <v>0</v>
      </c>
      <c r="AO82" s="831"/>
      <c r="AP82" s="831"/>
      <c r="AQ82" s="828">
        <f t="shared" si="2"/>
        <v>0</v>
      </c>
      <c r="AR82" s="828"/>
      <c r="AS82" s="828"/>
      <c r="AT82" s="828"/>
      <c r="AU82" s="828"/>
      <c r="AV82" s="828"/>
      <c r="AW82" s="829"/>
      <c r="AX82" s="12"/>
      <c r="AY82" s="12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DG82" s="5"/>
      <c r="DH82" s="5"/>
      <c r="DI82" s="5"/>
      <c r="DM82" s="12"/>
      <c r="DN82" s="12"/>
      <c r="DO82" s="12"/>
      <c r="DP82" s="12"/>
      <c r="DQ82" s="12"/>
      <c r="DR82" s="12"/>
      <c r="DS82" s="12"/>
      <c r="DT82" s="12"/>
      <c r="DU82" s="12"/>
      <c r="DV82" s="12"/>
      <c r="DW82" s="12"/>
      <c r="DX82" s="12"/>
      <c r="DY82" s="12"/>
      <c r="DZ82" s="12"/>
      <c r="EA82" s="12"/>
      <c r="EB82" s="12"/>
      <c r="EC82" s="12"/>
      <c r="ED82" s="12"/>
      <c r="EE82" s="12"/>
      <c r="EF82" s="12"/>
      <c r="EG82" s="12"/>
      <c r="EH82" s="12"/>
      <c r="EI82" s="12"/>
      <c r="EJ82" s="12"/>
      <c r="EK82" s="12"/>
      <c r="EL82" s="12"/>
      <c r="EM82" s="12"/>
      <c r="EN82" s="12"/>
      <c r="EO82" s="12"/>
      <c r="EP82" s="12"/>
      <c r="EQ82" s="12"/>
      <c r="ER82" s="12"/>
      <c r="ES82" s="12"/>
      <c r="ET82" s="12"/>
      <c r="EU82" s="12"/>
      <c r="EV82" s="12"/>
      <c r="EW82" s="12"/>
      <c r="EX82" s="12"/>
      <c r="EY82" s="12"/>
      <c r="EZ82" s="12"/>
    </row>
    <row r="83" spans="1:156" s="11" customFormat="1" ht="11.1" customHeight="1" x14ac:dyDescent="0.25">
      <c r="A83" s="8"/>
      <c r="B83" s="8"/>
      <c r="C83" s="8"/>
      <c r="D83" s="8"/>
      <c r="E83" s="9"/>
      <c r="F83" s="12"/>
      <c r="G83" s="809">
        <f t="shared" si="3"/>
        <v>23</v>
      </c>
      <c r="H83" s="810"/>
      <c r="I83" s="811"/>
      <c r="J83" s="827">
        <f>PLS!BF100</f>
        <v>0</v>
      </c>
      <c r="K83" s="828"/>
      <c r="L83" s="828"/>
      <c r="M83" s="828"/>
      <c r="N83" s="828"/>
      <c r="O83" s="829"/>
      <c r="P83" s="830">
        <f>Proposta_Constr_Individual!AM167</f>
        <v>0</v>
      </c>
      <c r="Q83" s="831"/>
      <c r="R83" s="831"/>
      <c r="S83" s="831"/>
      <c r="T83" s="831"/>
      <c r="U83" s="831"/>
      <c r="V83" s="831"/>
      <c r="W83" s="828">
        <f t="shared" si="0"/>
        <v>0</v>
      </c>
      <c r="X83" s="828"/>
      <c r="Y83" s="828"/>
      <c r="Z83" s="828"/>
      <c r="AA83" s="828"/>
      <c r="AB83" s="828"/>
      <c r="AC83" s="829"/>
      <c r="AD83" s="830"/>
      <c r="AE83" s="831"/>
      <c r="AF83" s="831"/>
      <c r="AG83" s="831"/>
      <c r="AH83" s="831"/>
      <c r="AI83" s="831"/>
      <c r="AJ83" s="830"/>
      <c r="AK83" s="831"/>
      <c r="AL83" s="831"/>
      <c r="AM83" s="831"/>
      <c r="AN83" s="831">
        <f t="shared" si="1"/>
        <v>0</v>
      </c>
      <c r="AO83" s="831"/>
      <c r="AP83" s="831"/>
      <c r="AQ83" s="828">
        <f t="shared" si="2"/>
        <v>0</v>
      </c>
      <c r="AR83" s="828"/>
      <c r="AS83" s="828"/>
      <c r="AT83" s="828"/>
      <c r="AU83" s="828"/>
      <c r="AV83" s="828"/>
      <c r="AW83" s="829"/>
      <c r="AX83" s="12"/>
      <c r="AY83" s="12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R83" s="5"/>
      <c r="BS83" s="5"/>
      <c r="BT83" s="5"/>
      <c r="DG83" s="5"/>
      <c r="DH83" s="5"/>
      <c r="DI83" s="5"/>
      <c r="DM83" s="12"/>
      <c r="DN83" s="12"/>
      <c r="DO83" s="12"/>
      <c r="DP83" s="12"/>
      <c r="DQ83" s="12"/>
      <c r="DR83" s="12"/>
      <c r="DS83" s="12"/>
      <c r="DT83" s="12"/>
      <c r="DU83" s="12"/>
      <c r="DV83" s="12"/>
      <c r="DW83" s="12"/>
      <c r="DX83" s="12"/>
      <c r="DY83" s="12"/>
      <c r="DZ83" s="12"/>
      <c r="EA83" s="12"/>
      <c r="EB83" s="12"/>
      <c r="EC83" s="12"/>
      <c r="ED83" s="12"/>
      <c r="EE83" s="12"/>
      <c r="EF83" s="12"/>
      <c r="EG83" s="12"/>
      <c r="EH83" s="12"/>
      <c r="EI83" s="12"/>
      <c r="EJ83" s="12"/>
      <c r="EK83" s="12"/>
      <c r="EL83" s="12"/>
      <c r="EM83" s="12"/>
      <c r="EN83" s="12"/>
      <c r="EO83" s="12"/>
      <c r="EP83" s="12"/>
      <c r="EQ83" s="12"/>
      <c r="ER83" s="12"/>
      <c r="ES83" s="12"/>
      <c r="ET83" s="12"/>
      <c r="EU83" s="12"/>
      <c r="EV83" s="12"/>
      <c r="EW83" s="12"/>
      <c r="EX83" s="12"/>
      <c r="EY83" s="12"/>
      <c r="EZ83" s="12"/>
    </row>
    <row r="84" spans="1:156" s="11" customFormat="1" ht="11.1" customHeight="1" x14ac:dyDescent="0.25">
      <c r="A84" s="8"/>
      <c r="B84" s="8"/>
      <c r="C84" s="8"/>
      <c r="D84" s="8"/>
      <c r="E84" s="9"/>
      <c r="F84" s="12"/>
      <c r="G84" s="834">
        <f t="shared" si="3"/>
        <v>24</v>
      </c>
      <c r="H84" s="835"/>
      <c r="I84" s="836"/>
      <c r="J84" s="827">
        <f>PLS!BF101</f>
        <v>0</v>
      </c>
      <c r="K84" s="828"/>
      <c r="L84" s="828"/>
      <c r="M84" s="828"/>
      <c r="N84" s="828"/>
      <c r="O84" s="829"/>
      <c r="P84" s="830">
        <f>Proposta_Constr_Individual!AM168</f>
        <v>0</v>
      </c>
      <c r="Q84" s="831"/>
      <c r="R84" s="831"/>
      <c r="S84" s="831"/>
      <c r="T84" s="831"/>
      <c r="U84" s="831"/>
      <c r="V84" s="831"/>
      <c r="W84" s="828">
        <f t="shared" si="0"/>
        <v>0</v>
      </c>
      <c r="X84" s="828"/>
      <c r="Y84" s="828"/>
      <c r="Z84" s="828"/>
      <c r="AA84" s="828"/>
      <c r="AB84" s="828"/>
      <c r="AC84" s="829"/>
      <c r="AD84" s="830"/>
      <c r="AE84" s="831"/>
      <c r="AF84" s="831"/>
      <c r="AG84" s="831"/>
      <c r="AH84" s="831"/>
      <c r="AI84" s="831"/>
      <c r="AJ84" s="830"/>
      <c r="AK84" s="831"/>
      <c r="AL84" s="831"/>
      <c r="AM84" s="831"/>
      <c r="AN84" s="831">
        <f t="shared" si="1"/>
        <v>0</v>
      </c>
      <c r="AO84" s="831"/>
      <c r="AP84" s="831"/>
      <c r="AQ84" s="828">
        <f t="shared" si="2"/>
        <v>0</v>
      </c>
      <c r="AR84" s="828"/>
      <c r="AS84" s="828"/>
      <c r="AT84" s="828"/>
      <c r="AU84" s="828"/>
      <c r="AV84" s="828"/>
      <c r="AW84" s="829"/>
      <c r="AX84" s="64" t="e">
        <f>IF(J84="","",IF(J84&gt;#REF!,"Excede máximo - justifique",IF(J84&lt;#REF!,"Abaixo do mínimo","OK")))</f>
        <v>#REF!</v>
      </c>
      <c r="AY84" s="12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DG84" s="5"/>
      <c r="DH84" s="5"/>
      <c r="DI84" s="5"/>
      <c r="DM84" s="12"/>
      <c r="DN84" s="12"/>
      <c r="DO84" s="12"/>
      <c r="DP84" s="12"/>
      <c r="DQ84" s="12"/>
      <c r="DR84" s="12"/>
      <c r="DS84" s="12"/>
      <c r="DT84" s="12"/>
      <c r="DU84" s="12"/>
      <c r="DV84" s="12"/>
      <c r="DW84" s="12"/>
      <c r="DX84" s="12"/>
      <c r="DY84" s="12"/>
      <c r="DZ84" s="12"/>
      <c r="EA84" s="12"/>
      <c r="EB84" s="12"/>
      <c r="EC84" s="12"/>
      <c r="ED84" s="12"/>
      <c r="EE84" s="12"/>
      <c r="EF84" s="12"/>
      <c r="EG84" s="12"/>
      <c r="EH84" s="12"/>
      <c r="EI84" s="12"/>
      <c r="EJ84" s="12"/>
      <c r="EK84" s="12"/>
      <c r="EL84" s="12"/>
      <c r="EM84" s="12"/>
      <c r="EN84" s="12"/>
      <c r="EO84" s="12"/>
      <c r="EP84" s="12"/>
      <c r="EQ84" s="12"/>
      <c r="ER84" s="12"/>
      <c r="ES84" s="12"/>
      <c r="ET84" s="12"/>
      <c r="EU84" s="12"/>
      <c r="EV84" s="12"/>
      <c r="EW84" s="12"/>
      <c r="EX84" s="12"/>
      <c r="EY84" s="12"/>
      <c r="EZ84" s="12"/>
    </row>
    <row r="85" spans="1:156" s="11" customFormat="1" ht="11.1" customHeight="1" x14ac:dyDescent="0.25">
      <c r="A85" s="8"/>
      <c r="B85" s="8"/>
      <c r="C85" s="8"/>
      <c r="D85" s="8"/>
      <c r="E85" s="9"/>
      <c r="F85" s="12"/>
      <c r="G85" s="834">
        <f t="shared" si="3"/>
        <v>25</v>
      </c>
      <c r="H85" s="835"/>
      <c r="I85" s="836"/>
      <c r="J85" s="827">
        <f>PLS!BF102</f>
        <v>0</v>
      </c>
      <c r="K85" s="828"/>
      <c r="L85" s="828"/>
      <c r="M85" s="828"/>
      <c r="N85" s="828"/>
      <c r="O85" s="829"/>
      <c r="P85" s="830">
        <f>Proposta_Constr_Individual!AM169</f>
        <v>0</v>
      </c>
      <c r="Q85" s="831"/>
      <c r="R85" s="831"/>
      <c r="S85" s="831"/>
      <c r="T85" s="831"/>
      <c r="U85" s="831"/>
      <c r="V85" s="831"/>
      <c r="W85" s="828">
        <f t="shared" si="0"/>
        <v>0</v>
      </c>
      <c r="X85" s="828"/>
      <c r="Y85" s="828"/>
      <c r="Z85" s="828"/>
      <c r="AA85" s="828"/>
      <c r="AB85" s="828"/>
      <c r="AC85" s="829"/>
      <c r="AD85" s="830"/>
      <c r="AE85" s="831"/>
      <c r="AF85" s="831"/>
      <c r="AG85" s="831"/>
      <c r="AH85" s="831"/>
      <c r="AI85" s="831"/>
      <c r="AJ85" s="830"/>
      <c r="AK85" s="831"/>
      <c r="AL85" s="831"/>
      <c r="AM85" s="831"/>
      <c r="AN85" s="831">
        <f t="shared" si="1"/>
        <v>0</v>
      </c>
      <c r="AO85" s="831"/>
      <c r="AP85" s="831"/>
      <c r="AQ85" s="828">
        <f t="shared" si="2"/>
        <v>0</v>
      </c>
      <c r="AR85" s="828"/>
      <c r="AS85" s="828"/>
      <c r="AT85" s="828"/>
      <c r="AU85" s="828"/>
      <c r="AV85" s="828"/>
      <c r="AW85" s="829"/>
      <c r="AX85" s="64"/>
      <c r="AY85" s="12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DG85" s="5"/>
      <c r="DH85" s="5"/>
      <c r="DI85" s="5"/>
      <c r="DM85" s="12"/>
      <c r="DN85" s="12"/>
      <c r="DO85" s="12"/>
      <c r="DP85" s="12"/>
      <c r="DQ85" s="12"/>
      <c r="DR85" s="12"/>
      <c r="DS85" s="12"/>
      <c r="DT85" s="12"/>
      <c r="DU85" s="12"/>
      <c r="DV85" s="12"/>
      <c r="DW85" s="12"/>
      <c r="DX85" s="12"/>
      <c r="DY85" s="12"/>
      <c r="DZ85" s="12"/>
      <c r="EA85" s="12"/>
      <c r="EB85" s="12"/>
      <c r="EC85" s="12"/>
      <c r="ED85" s="12"/>
      <c r="EE85" s="12"/>
      <c r="EF85" s="12"/>
      <c r="EG85" s="12"/>
      <c r="EH85" s="12"/>
      <c r="EI85" s="12"/>
      <c r="EJ85" s="12"/>
      <c r="EK85" s="12"/>
      <c r="EL85" s="12"/>
      <c r="EM85" s="12"/>
      <c r="EN85" s="12"/>
      <c r="EO85" s="12"/>
      <c r="EP85" s="12"/>
      <c r="EQ85" s="12"/>
      <c r="ER85" s="12"/>
      <c r="ES85" s="12"/>
      <c r="ET85" s="12"/>
      <c r="EU85" s="12"/>
      <c r="EV85" s="12"/>
      <c r="EW85" s="12"/>
      <c r="EX85" s="12"/>
      <c r="EY85" s="12"/>
      <c r="EZ85" s="12"/>
    </row>
    <row r="86" spans="1:156" s="11" customFormat="1" ht="11.1" customHeight="1" x14ac:dyDescent="0.25">
      <c r="A86" s="8"/>
      <c r="B86" s="8"/>
      <c r="C86" s="8"/>
      <c r="D86" s="8"/>
      <c r="E86" s="9"/>
      <c r="F86" s="12"/>
      <c r="G86" s="834">
        <f t="shared" si="3"/>
        <v>26</v>
      </c>
      <c r="H86" s="835"/>
      <c r="I86" s="836"/>
      <c r="J86" s="827">
        <f>PLS!BF103</f>
        <v>0</v>
      </c>
      <c r="K86" s="828"/>
      <c r="L86" s="828"/>
      <c r="M86" s="828"/>
      <c r="N86" s="828"/>
      <c r="O86" s="829"/>
      <c r="P86" s="830">
        <f>Proposta_Constr_Individual!AM170</f>
        <v>0</v>
      </c>
      <c r="Q86" s="831"/>
      <c r="R86" s="831"/>
      <c r="S86" s="831"/>
      <c r="T86" s="831"/>
      <c r="U86" s="831"/>
      <c r="V86" s="831"/>
      <c r="W86" s="828">
        <f t="shared" si="0"/>
        <v>0</v>
      </c>
      <c r="X86" s="828"/>
      <c r="Y86" s="828"/>
      <c r="Z86" s="828"/>
      <c r="AA86" s="828"/>
      <c r="AB86" s="828"/>
      <c r="AC86" s="829"/>
      <c r="AD86" s="830"/>
      <c r="AE86" s="831"/>
      <c r="AF86" s="831"/>
      <c r="AG86" s="831"/>
      <c r="AH86" s="831"/>
      <c r="AI86" s="831"/>
      <c r="AJ86" s="830"/>
      <c r="AK86" s="831"/>
      <c r="AL86" s="831"/>
      <c r="AM86" s="831"/>
      <c r="AN86" s="831">
        <f t="shared" si="1"/>
        <v>0</v>
      </c>
      <c r="AO86" s="831"/>
      <c r="AP86" s="831"/>
      <c r="AQ86" s="828">
        <f t="shared" si="2"/>
        <v>0</v>
      </c>
      <c r="AR86" s="828"/>
      <c r="AS86" s="828"/>
      <c r="AT86" s="828"/>
      <c r="AU86" s="828"/>
      <c r="AV86" s="828"/>
      <c r="AW86" s="829"/>
      <c r="AX86" s="64"/>
      <c r="AY86" s="12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DG86" s="5"/>
      <c r="DH86" s="5"/>
      <c r="DI86" s="5"/>
      <c r="DM86" s="12"/>
      <c r="DN86" s="12"/>
      <c r="DO86" s="12"/>
      <c r="DP86" s="12"/>
      <c r="DQ86" s="12"/>
      <c r="DR86" s="12"/>
      <c r="DS86" s="12"/>
      <c r="DT86" s="12"/>
      <c r="DU86" s="12"/>
      <c r="DV86" s="12"/>
      <c r="DW86" s="12"/>
      <c r="DX86" s="12"/>
      <c r="DY86" s="12"/>
      <c r="DZ86" s="12"/>
      <c r="EA86" s="12"/>
      <c r="EB86" s="12"/>
      <c r="EC86" s="12"/>
      <c r="ED86" s="12"/>
      <c r="EE86" s="12"/>
      <c r="EF86" s="12"/>
      <c r="EG86" s="12"/>
      <c r="EH86" s="12"/>
      <c r="EI86" s="12"/>
      <c r="EJ86" s="12"/>
      <c r="EK86" s="12"/>
      <c r="EL86" s="12"/>
      <c r="EM86" s="12"/>
      <c r="EN86" s="12"/>
      <c r="EO86" s="12"/>
      <c r="EP86" s="12"/>
      <c r="EQ86" s="12"/>
      <c r="ER86" s="12"/>
      <c r="ES86" s="12"/>
      <c r="ET86" s="12"/>
      <c r="EU86" s="12"/>
      <c r="EV86" s="12"/>
      <c r="EW86" s="12"/>
      <c r="EX86" s="12"/>
      <c r="EY86" s="12"/>
      <c r="EZ86" s="12"/>
    </row>
    <row r="87" spans="1:156" s="11" customFormat="1" ht="11.1" customHeight="1" x14ac:dyDescent="0.25">
      <c r="A87" s="8"/>
      <c r="B87" s="8"/>
      <c r="C87" s="8"/>
      <c r="D87" s="8"/>
      <c r="E87" s="9"/>
      <c r="F87" s="12"/>
      <c r="G87" s="834">
        <f t="shared" si="3"/>
        <v>27</v>
      </c>
      <c r="H87" s="835"/>
      <c r="I87" s="836"/>
      <c r="J87" s="827">
        <f>PLS!BF104</f>
        <v>0</v>
      </c>
      <c r="K87" s="828"/>
      <c r="L87" s="828"/>
      <c r="M87" s="828"/>
      <c r="N87" s="828"/>
      <c r="O87" s="829"/>
      <c r="P87" s="830">
        <f>Proposta_Constr_Individual!AM171</f>
        <v>0</v>
      </c>
      <c r="Q87" s="831"/>
      <c r="R87" s="831"/>
      <c r="S87" s="831"/>
      <c r="T87" s="831"/>
      <c r="U87" s="831"/>
      <c r="V87" s="831"/>
      <c r="W87" s="828">
        <f t="shared" si="0"/>
        <v>0</v>
      </c>
      <c r="X87" s="828"/>
      <c r="Y87" s="828"/>
      <c r="Z87" s="828"/>
      <c r="AA87" s="828"/>
      <c r="AB87" s="828"/>
      <c r="AC87" s="829"/>
      <c r="AD87" s="830"/>
      <c r="AE87" s="831"/>
      <c r="AF87" s="831"/>
      <c r="AG87" s="831"/>
      <c r="AH87" s="831"/>
      <c r="AI87" s="831"/>
      <c r="AJ87" s="830"/>
      <c r="AK87" s="831"/>
      <c r="AL87" s="831"/>
      <c r="AM87" s="831"/>
      <c r="AN87" s="831">
        <f t="shared" si="1"/>
        <v>0</v>
      </c>
      <c r="AO87" s="831"/>
      <c r="AP87" s="831"/>
      <c r="AQ87" s="828">
        <f t="shared" si="2"/>
        <v>0</v>
      </c>
      <c r="AR87" s="828"/>
      <c r="AS87" s="828"/>
      <c r="AT87" s="828"/>
      <c r="AU87" s="828"/>
      <c r="AV87" s="828"/>
      <c r="AW87" s="829"/>
      <c r="AX87" s="64"/>
      <c r="AY87" s="12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DG87" s="5"/>
      <c r="DH87" s="5"/>
      <c r="DI87" s="5"/>
      <c r="DM87" s="12"/>
      <c r="DN87" s="12"/>
      <c r="DO87" s="12"/>
      <c r="DP87" s="12"/>
      <c r="DQ87" s="12"/>
      <c r="DR87" s="12"/>
      <c r="DS87" s="12"/>
      <c r="DT87" s="12"/>
      <c r="DU87" s="12"/>
      <c r="DV87" s="12"/>
      <c r="DW87" s="12"/>
      <c r="DX87" s="12"/>
      <c r="DY87" s="12"/>
      <c r="DZ87" s="12"/>
      <c r="EA87" s="12"/>
      <c r="EB87" s="12"/>
      <c r="EC87" s="12"/>
      <c r="ED87" s="12"/>
      <c r="EE87" s="12"/>
      <c r="EF87" s="12"/>
      <c r="EG87" s="12"/>
      <c r="EH87" s="12"/>
      <c r="EI87" s="12"/>
      <c r="EJ87" s="12"/>
      <c r="EK87" s="12"/>
      <c r="EL87" s="12"/>
      <c r="EM87" s="12"/>
      <c r="EN87" s="12"/>
      <c r="EO87" s="12"/>
      <c r="EP87" s="12"/>
      <c r="EQ87" s="12"/>
      <c r="ER87" s="12"/>
      <c r="ES87" s="12"/>
      <c r="ET87" s="12"/>
      <c r="EU87" s="12"/>
      <c r="EV87" s="12"/>
      <c r="EW87" s="12"/>
      <c r="EX87" s="12"/>
      <c r="EY87" s="12"/>
      <c r="EZ87" s="12"/>
    </row>
    <row r="88" spans="1:156" s="11" customFormat="1" ht="11.1" customHeight="1" x14ac:dyDescent="0.25">
      <c r="A88" s="8"/>
      <c r="B88" s="8"/>
      <c r="C88" s="8"/>
      <c r="D88" s="8"/>
      <c r="E88" s="9"/>
      <c r="F88" s="12"/>
      <c r="G88" s="834">
        <f t="shared" si="3"/>
        <v>28</v>
      </c>
      <c r="H88" s="835"/>
      <c r="I88" s="836"/>
      <c r="J88" s="827">
        <f>PLS!BF105</f>
        <v>0</v>
      </c>
      <c r="K88" s="828"/>
      <c r="L88" s="828"/>
      <c r="M88" s="828"/>
      <c r="N88" s="828"/>
      <c r="O88" s="829"/>
      <c r="P88" s="830">
        <f>Proposta_Constr_Individual!AM172</f>
        <v>0</v>
      </c>
      <c r="Q88" s="831"/>
      <c r="R88" s="831"/>
      <c r="S88" s="831"/>
      <c r="T88" s="831"/>
      <c r="U88" s="831"/>
      <c r="V88" s="831"/>
      <c r="W88" s="828">
        <f t="shared" si="0"/>
        <v>0</v>
      </c>
      <c r="X88" s="828"/>
      <c r="Y88" s="828"/>
      <c r="Z88" s="828"/>
      <c r="AA88" s="828"/>
      <c r="AB88" s="828"/>
      <c r="AC88" s="829"/>
      <c r="AD88" s="830"/>
      <c r="AE88" s="831"/>
      <c r="AF88" s="831"/>
      <c r="AG88" s="831"/>
      <c r="AH88" s="831"/>
      <c r="AI88" s="831"/>
      <c r="AJ88" s="830"/>
      <c r="AK88" s="831"/>
      <c r="AL88" s="831"/>
      <c r="AM88" s="831"/>
      <c r="AN88" s="831">
        <f t="shared" si="1"/>
        <v>0</v>
      </c>
      <c r="AO88" s="831"/>
      <c r="AP88" s="831"/>
      <c r="AQ88" s="828">
        <f t="shared" si="2"/>
        <v>0</v>
      </c>
      <c r="AR88" s="828"/>
      <c r="AS88" s="828"/>
      <c r="AT88" s="828"/>
      <c r="AU88" s="828"/>
      <c r="AV88" s="828"/>
      <c r="AW88" s="829"/>
      <c r="AX88" s="64"/>
      <c r="AY88" s="12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DG88" s="5"/>
      <c r="DH88" s="5"/>
      <c r="DI88" s="5"/>
      <c r="DM88" s="12"/>
      <c r="DN88" s="12"/>
      <c r="DO88" s="12"/>
      <c r="DP88" s="12"/>
      <c r="DQ88" s="12"/>
      <c r="DR88" s="12"/>
      <c r="DS88" s="12"/>
      <c r="DT88" s="12"/>
      <c r="DU88" s="12"/>
      <c r="DV88" s="12"/>
      <c r="DW88" s="12"/>
      <c r="DX88" s="12"/>
      <c r="DY88" s="12"/>
      <c r="DZ88" s="12"/>
      <c r="EA88" s="12"/>
      <c r="EB88" s="12"/>
      <c r="EC88" s="12"/>
      <c r="ED88" s="12"/>
      <c r="EE88" s="12"/>
      <c r="EF88" s="12"/>
      <c r="EG88" s="12"/>
      <c r="EH88" s="12"/>
      <c r="EI88" s="12"/>
      <c r="EJ88" s="12"/>
      <c r="EK88" s="12"/>
      <c r="EL88" s="12"/>
      <c r="EM88" s="12"/>
      <c r="EN88" s="12"/>
      <c r="EO88" s="12"/>
      <c r="EP88" s="12"/>
      <c r="EQ88" s="12"/>
      <c r="ER88" s="12"/>
      <c r="ES88" s="12"/>
      <c r="ET88" s="12"/>
      <c r="EU88" s="12"/>
      <c r="EV88" s="12"/>
      <c r="EW88" s="12"/>
      <c r="EX88" s="12"/>
      <c r="EY88" s="12"/>
      <c r="EZ88" s="12"/>
    </row>
    <row r="89" spans="1:156" s="11" customFormat="1" ht="11.1" customHeight="1" x14ac:dyDescent="0.25">
      <c r="A89" s="8"/>
      <c r="B89" s="8"/>
      <c r="C89" s="8"/>
      <c r="D89" s="8"/>
      <c r="E89" s="9"/>
      <c r="F89" s="12"/>
      <c r="G89" s="834">
        <f t="shared" si="3"/>
        <v>29</v>
      </c>
      <c r="H89" s="835"/>
      <c r="I89" s="836"/>
      <c r="J89" s="827">
        <f>PLS!BF106</f>
        <v>0</v>
      </c>
      <c r="K89" s="828"/>
      <c r="L89" s="828"/>
      <c r="M89" s="828"/>
      <c r="N89" s="828"/>
      <c r="O89" s="829"/>
      <c r="P89" s="830">
        <f>Proposta_Constr_Individual!AM173</f>
        <v>0</v>
      </c>
      <c r="Q89" s="831"/>
      <c r="R89" s="831"/>
      <c r="S89" s="831"/>
      <c r="T89" s="831"/>
      <c r="U89" s="831"/>
      <c r="V89" s="831"/>
      <c r="W89" s="828">
        <f t="shared" si="0"/>
        <v>0</v>
      </c>
      <c r="X89" s="828"/>
      <c r="Y89" s="828"/>
      <c r="Z89" s="828"/>
      <c r="AA89" s="828"/>
      <c r="AB89" s="828"/>
      <c r="AC89" s="829"/>
      <c r="AD89" s="830"/>
      <c r="AE89" s="831"/>
      <c r="AF89" s="831"/>
      <c r="AG89" s="831"/>
      <c r="AH89" s="831"/>
      <c r="AI89" s="831"/>
      <c r="AJ89" s="830"/>
      <c r="AK89" s="831"/>
      <c r="AL89" s="831"/>
      <c r="AM89" s="831"/>
      <c r="AN89" s="831">
        <f t="shared" si="1"/>
        <v>0</v>
      </c>
      <c r="AO89" s="831"/>
      <c r="AP89" s="831"/>
      <c r="AQ89" s="828">
        <f t="shared" si="2"/>
        <v>0</v>
      </c>
      <c r="AR89" s="828"/>
      <c r="AS89" s="828"/>
      <c r="AT89" s="828"/>
      <c r="AU89" s="828"/>
      <c r="AV89" s="828"/>
      <c r="AW89" s="829"/>
      <c r="AX89" s="64"/>
      <c r="AY89" s="12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DG89" s="5"/>
      <c r="DH89" s="5"/>
      <c r="DI89" s="5"/>
      <c r="DM89" s="12"/>
      <c r="DN89" s="12"/>
      <c r="DO89" s="12"/>
      <c r="DP89" s="12"/>
      <c r="DQ89" s="12"/>
      <c r="DR89" s="12"/>
      <c r="DS89" s="12"/>
      <c r="DT89" s="12"/>
      <c r="DU89" s="12"/>
      <c r="DV89" s="12"/>
      <c r="DW89" s="12"/>
      <c r="DX89" s="12"/>
      <c r="DY89" s="12"/>
      <c r="DZ89" s="12"/>
      <c r="EA89" s="12"/>
      <c r="EB89" s="12"/>
      <c r="EC89" s="12"/>
      <c r="ED89" s="12"/>
      <c r="EE89" s="12"/>
      <c r="EF89" s="12"/>
      <c r="EG89" s="12"/>
      <c r="EH89" s="12"/>
      <c r="EI89" s="12"/>
      <c r="EJ89" s="12"/>
      <c r="EK89" s="12"/>
      <c r="EL89" s="12"/>
      <c r="EM89" s="12"/>
      <c r="EN89" s="12"/>
      <c r="EO89" s="12"/>
      <c r="EP89" s="12"/>
      <c r="EQ89" s="12"/>
      <c r="ER89" s="12"/>
      <c r="ES89" s="12"/>
      <c r="ET89" s="12"/>
      <c r="EU89" s="12"/>
      <c r="EV89" s="12"/>
      <c r="EW89" s="12"/>
      <c r="EX89" s="12"/>
      <c r="EY89" s="12"/>
      <c r="EZ89" s="12"/>
    </row>
    <row r="90" spans="1:156" s="11" customFormat="1" ht="11.1" customHeight="1" x14ac:dyDescent="0.25">
      <c r="A90" s="8"/>
      <c r="B90" s="8"/>
      <c r="C90" s="8"/>
      <c r="D90" s="8"/>
      <c r="E90" s="9"/>
      <c r="F90" s="12"/>
      <c r="G90" s="834">
        <f t="shared" si="3"/>
        <v>30</v>
      </c>
      <c r="H90" s="835"/>
      <c r="I90" s="836"/>
      <c r="J90" s="827">
        <f>PLS!BF107</f>
        <v>0</v>
      </c>
      <c r="K90" s="828"/>
      <c r="L90" s="828"/>
      <c r="M90" s="828"/>
      <c r="N90" s="828"/>
      <c r="O90" s="829"/>
      <c r="P90" s="830">
        <f>Proposta_Constr_Individual!AM174</f>
        <v>0</v>
      </c>
      <c r="Q90" s="831"/>
      <c r="R90" s="831"/>
      <c r="S90" s="831"/>
      <c r="T90" s="831"/>
      <c r="U90" s="831"/>
      <c r="V90" s="831"/>
      <c r="W90" s="828">
        <f t="shared" si="0"/>
        <v>0</v>
      </c>
      <c r="X90" s="828"/>
      <c r="Y90" s="828"/>
      <c r="Z90" s="828"/>
      <c r="AA90" s="828"/>
      <c r="AB90" s="828"/>
      <c r="AC90" s="829"/>
      <c r="AD90" s="830"/>
      <c r="AE90" s="831"/>
      <c r="AF90" s="831"/>
      <c r="AG90" s="831"/>
      <c r="AH90" s="831"/>
      <c r="AI90" s="831"/>
      <c r="AJ90" s="830"/>
      <c r="AK90" s="831"/>
      <c r="AL90" s="831"/>
      <c r="AM90" s="831"/>
      <c r="AN90" s="831">
        <f t="shared" si="1"/>
        <v>0</v>
      </c>
      <c r="AO90" s="831"/>
      <c r="AP90" s="831"/>
      <c r="AQ90" s="828">
        <f t="shared" si="2"/>
        <v>0</v>
      </c>
      <c r="AR90" s="828"/>
      <c r="AS90" s="828"/>
      <c r="AT90" s="828"/>
      <c r="AU90" s="828"/>
      <c r="AV90" s="828"/>
      <c r="AW90" s="829"/>
      <c r="AX90" s="64"/>
      <c r="AY90" s="12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DG90" s="5"/>
      <c r="DH90" s="5"/>
      <c r="DI90" s="5"/>
      <c r="DM90" s="12"/>
      <c r="DN90" s="12"/>
      <c r="DO90" s="12"/>
      <c r="DP90" s="12"/>
      <c r="DQ90" s="12"/>
      <c r="DR90" s="12"/>
      <c r="DS90" s="12"/>
      <c r="DT90" s="12"/>
      <c r="DU90" s="12"/>
      <c r="DV90" s="12"/>
      <c r="DW90" s="12"/>
      <c r="DX90" s="12"/>
      <c r="DY90" s="12"/>
      <c r="DZ90" s="12"/>
      <c r="EA90" s="12"/>
      <c r="EB90" s="12"/>
      <c r="EC90" s="12"/>
      <c r="ED90" s="12"/>
      <c r="EE90" s="12"/>
      <c r="EF90" s="12"/>
      <c r="EG90" s="12"/>
      <c r="EH90" s="12"/>
      <c r="EI90" s="12"/>
      <c r="EJ90" s="12"/>
      <c r="EK90" s="12"/>
      <c r="EL90" s="12"/>
      <c r="EM90" s="12"/>
      <c r="EN90" s="12"/>
      <c r="EO90" s="12"/>
      <c r="EP90" s="12"/>
      <c r="EQ90" s="12"/>
      <c r="ER90" s="12"/>
      <c r="ES90" s="12"/>
      <c r="ET90" s="12"/>
      <c r="EU90" s="12"/>
      <c r="EV90" s="12"/>
      <c r="EW90" s="12"/>
      <c r="EX90" s="12"/>
      <c r="EY90" s="12"/>
      <c r="EZ90" s="12"/>
    </row>
    <row r="91" spans="1:156" s="11" customFormat="1" ht="11.1" customHeight="1" x14ac:dyDescent="0.25">
      <c r="A91" s="8"/>
      <c r="B91" s="8"/>
      <c r="C91" s="8"/>
      <c r="D91" s="8"/>
      <c r="E91" s="9"/>
      <c r="F91" s="12"/>
      <c r="G91" s="834">
        <f t="shared" si="3"/>
        <v>31</v>
      </c>
      <c r="H91" s="835"/>
      <c r="I91" s="836"/>
      <c r="J91" s="827">
        <f>PLS!BF108</f>
        <v>0</v>
      </c>
      <c r="K91" s="828"/>
      <c r="L91" s="828"/>
      <c r="M91" s="828"/>
      <c r="N91" s="828"/>
      <c r="O91" s="829"/>
      <c r="P91" s="830">
        <f>Proposta_Constr_Individual!AM175</f>
        <v>0</v>
      </c>
      <c r="Q91" s="831"/>
      <c r="R91" s="831"/>
      <c r="S91" s="831"/>
      <c r="T91" s="831"/>
      <c r="U91" s="831"/>
      <c r="V91" s="831"/>
      <c r="W91" s="828">
        <f t="shared" si="0"/>
        <v>0</v>
      </c>
      <c r="X91" s="828"/>
      <c r="Y91" s="828"/>
      <c r="Z91" s="828"/>
      <c r="AA91" s="828"/>
      <c r="AB91" s="828"/>
      <c r="AC91" s="829"/>
      <c r="AD91" s="830"/>
      <c r="AE91" s="831"/>
      <c r="AF91" s="831"/>
      <c r="AG91" s="831"/>
      <c r="AH91" s="831"/>
      <c r="AI91" s="831"/>
      <c r="AJ91" s="830"/>
      <c r="AK91" s="831"/>
      <c r="AL91" s="831"/>
      <c r="AM91" s="831"/>
      <c r="AN91" s="831">
        <f t="shared" si="1"/>
        <v>0</v>
      </c>
      <c r="AO91" s="831"/>
      <c r="AP91" s="831"/>
      <c r="AQ91" s="828">
        <f t="shared" si="2"/>
        <v>0</v>
      </c>
      <c r="AR91" s="828"/>
      <c r="AS91" s="828"/>
      <c r="AT91" s="828"/>
      <c r="AU91" s="828"/>
      <c r="AV91" s="828"/>
      <c r="AW91" s="829"/>
      <c r="AX91" s="64"/>
      <c r="AY91" s="12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DG91" s="5"/>
      <c r="DH91" s="5"/>
      <c r="DI91" s="5"/>
      <c r="DM91" s="12"/>
      <c r="DN91" s="12"/>
      <c r="DO91" s="12"/>
      <c r="DP91" s="12"/>
      <c r="DQ91" s="12"/>
      <c r="DR91" s="12"/>
      <c r="DS91" s="12"/>
      <c r="DT91" s="12"/>
      <c r="DU91" s="12"/>
      <c r="DV91" s="12"/>
      <c r="DW91" s="12"/>
      <c r="DX91" s="12"/>
      <c r="DY91" s="12"/>
      <c r="DZ91" s="12"/>
      <c r="EA91" s="12"/>
      <c r="EB91" s="12"/>
      <c r="EC91" s="12"/>
      <c r="ED91" s="12"/>
      <c r="EE91" s="12"/>
      <c r="EF91" s="12"/>
      <c r="EG91" s="12"/>
      <c r="EH91" s="12"/>
      <c r="EI91" s="12"/>
      <c r="EJ91" s="12"/>
      <c r="EK91" s="12"/>
      <c r="EL91" s="12"/>
      <c r="EM91" s="12"/>
      <c r="EN91" s="12"/>
      <c r="EO91" s="12"/>
      <c r="EP91" s="12"/>
      <c r="EQ91" s="12"/>
      <c r="ER91" s="12"/>
      <c r="ES91" s="12"/>
      <c r="ET91" s="12"/>
      <c r="EU91" s="12"/>
      <c r="EV91" s="12"/>
      <c r="EW91" s="12"/>
      <c r="EX91" s="12"/>
      <c r="EY91" s="12"/>
      <c r="EZ91" s="12"/>
    </row>
    <row r="92" spans="1:156" s="11" customFormat="1" ht="11.1" customHeight="1" x14ac:dyDescent="0.25">
      <c r="A92" s="8"/>
      <c r="B92" s="8"/>
      <c r="C92" s="8"/>
      <c r="D92" s="8"/>
      <c r="E92" s="9"/>
      <c r="F92" s="12"/>
      <c r="G92" s="834">
        <f t="shared" si="3"/>
        <v>32</v>
      </c>
      <c r="H92" s="835"/>
      <c r="I92" s="836"/>
      <c r="J92" s="827">
        <f>PLS!BF109</f>
        <v>0</v>
      </c>
      <c r="K92" s="828"/>
      <c r="L92" s="828"/>
      <c r="M92" s="828"/>
      <c r="N92" s="828"/>
      <c r="O92" s="829"/>
      <c r="P92" s="830">
        <f>Proposta_Constr_Individual!AM176</f>
        <v>0</v>
      </c>
      <c r="Q92" s="831"/>
      <c r="R92" s="831"/>
      <c r="S92" s="831"/>
      <c r="T92" s="831"/>
      <c r="U92" s="831"/>
      <c r="V92" s="831"/>
      <c r="W92" s="828">
        <f t="shared" si="0"/>
        <v>0</v>
      </c>
      <c r="X92" s="828"/>
      <c r="Y92" s="828"/>
      <c r="Z92" s="828"/>
      <c r="AA92" s="828"/>
      <c r="AB92" s="828"/>
      <c r="AC92" s="829"/>
      <c r="AD92" s="830"/>
      <c r="AE92" s="831"/>
      <c r="AF92" s="831"/>
      <c r="AG92" s="831"/>
      <c r="AH92" s="831"/>
      <c r="AI92" s="831"/>
      <c r="AJ92" s="830"/>
      <c r="AK92" s="831"/>
      <c r="AL92" s="831"/>
      <c r="AM92" s="831"/>
      <c r="AN92" s="831">
        <f t="shared" si="1"/>
        <v>0</v>
      </c>
      <c r="AO92" s="831"/>
      <c r="AP92" s="831"/>
      <c r="AQ92" s="828">
        <f t="shared" si="2"/>
        <v>0</v>
      </c>
      <c r="AR92" s="828"/>
      <c r="AS92" s="828"/>
      <c r="AT92" s="828"/>
      <c r="AU92" s="828"/>
      <c r="AV92" s="828"/>
      <c r="AW92" s="829"/>
      <c r="AX92" s="64"/>
      <c r="AY92" s="12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DG92" s="5"/>
      <c r="DH92" s="5"/>
      <c r="DI92" s="5"/>
      <c r="DM92" s="12"/>
      <c r="DN92" s="12"/>
      <c r="DO92" s="12"/>
      <c r="DP92" s="12"/>
      <c r="DQ92" s="12"/>
      <c r="DR92" s="12"/>
      <c r="DS92" s="12"/>
      <c r="DT92" s="12"/>
      <c r="DU92" s="12"/>
      <c r="DV92" s="12"/>
      <c r="DW92" s="12"/>
      <c r="DX92" s="12"/>
      <c r="DY92" s="12"/>
      <c r="DZ92" s="12"/>
      <c r="EA92" s="12"/>
      <c r="EB92" s="12"/>
      <c r="EC92" s="12"/>
      <c r="ED92" s="12"/>
      <c r="EE92" s="12"/>
      <c r="EF92" s="12"/>
      <c r="EG92" s="12"/>
      <c r="EH92" s="12"/>
      <c r="EI92" s="12"/>
      <c r="EJ92" s="12"/>
      <c r="EK92" s="12"/>
      <c r="EL92" s="12"/>
      <c r="EM92" s="12"/>
      <c r="EN92" s="12"/>
      <c r="EO92" s="12"/>
      <c r="EP92" s="12"/>
      <c r="EQ92" s="12"/>
      <c r="ER92" s="12"/>
      <c r="ES92" s="12"/>
      <c r="ET92" s="12"/>
      <c r="EU92" s="12"/>
      <c r="EV92" s="12"/>
      <c r="EW92" s="12"/>
      <c r="EX92" s="12"/>
      <c r="EY92" s="12"/>
      <c r="EZ92" s="12"/>
    </row>
    <row r="93" spans="1:156" s="11" customFormat="1" ht="11.1" customHeight="1" x14ac:dyDescent="0.25">
      <c r="A93" s="8"/>
      <c r="B93" s="8"/>
      <c r="C93" s="8"/>
      <c r="D93" s="8"/>
      <c r="E93" s="9"/>
      <c r="F93" s="12"/>
      <c r="G93" s="834">
        <f t="shared" si="3"/>
        <v>33</v>
      </c>
      <c r="H93" s="835"/>
      <c r="I93" s="836"/>
      <c r="J93" s="827">
        <f>PLS!BF110</f>
        <v>0</v>
      </c>
      <c r="K93" s="828"/>
      <c r="L93" s="828"/>
      <c r="M93" s="828"/>
      <c r="N93" s="828"/>
      <c r="O93" s="829"/>
      <c r="P93" s="830">
        <f>Proposta_Constr_Individual!AM177</f>
        <v>0</v>
      </c>
      <c r="Q93" s="831"/>
      <c r="R93" s="831"/>
      <c r="S93" s="831"/>
      <c r="T93" s="831"/>
      <c r="U93" s="831"/>
      <c r="V93" s="831"/>
      <c r="W93" s="828">
        <f t="shared" si="0"/>
        <v>0</v>
      </c>
      <c r="X93" s="828"/>
      <c r="Y93" s="828"/>
      <c r="Z93" s="828"/>
      <c r="AA93" s="828"/>
      <c r="AB93" s="828"/>
      <c r="AC93" s="829"/>
      <c r="AD93" s="830"/>
      <c r="AE93" s="831"/>
      <c r="AF93" s="831"/>
      <c r="AG93" s="831"/>
      <c r="AH93" s="831"/>
      <c r="AI93" s="831"/>
      <c r="AJ93" s="830"/>
      <c r="AK93" s="831"/>
      <c r="AL93" s="831"/>
      <c r="AM93" s="831"/>
      <c r="AN93" s="831">
        <f t="shared" si="1"/>
        <v>0</v>
      </c>
      <c r="AO93" s="831"/>
      <c r="AP93" s="831"/>
      <c r="AQ93" s="828">
        <f t="shared" si="2"/>
        <v>0</v>
      </c>
      <c r="AR93" s="828"/>
      <c r="AS93" s="828"/>
      <c r="AT93" s="828"/>
      <c r="AU93" s="828"/>
      <c r="AV93" s="828"/>
      <c r="AW93" s="829"/>
      <c r="AX93" s="64"/>
      <c r="AY93" s="12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DG93" s="5"/>
      <c r="DH93" s="5"/>
      <c r="DI93" s="5"/>
      <c r="DM93" s="12"/>
      <c r="DN93" s="12"/>
      <c r="DO93" s="12"/>
      <c r="DP93" s="12"/>
      <c r="DQ93" s="12"/>
      <c r="DR93" s="12"/>
      <c r="DS93" s="12"/>
      <c r="DT93" s="12"/>
      <c r="DU93" s="12"/>
      <c r="DV93" s="12"/>
      <c r="DW93" s="12"/>
      <c r="DX93" s="12"/>
      <c r="DY93" s="12"/>
      <c r="DZ93" s="12"/>
      <c r="EA93" s="12"/>
      <c r="EB93" s="12"/>
      <c r="EC93" s="12"/>
      <c r="ED93" s="12"/>
      <c r="EE93" s="12"/>
      <c r="EF93" s="12"/>
      <c r="EG93" s="12"/>
      <c r="EH93" s="12"/>
      <c r="EI93" s="12"/>
      <c r="EJ93" s="12"/>
      <c r="EK93" s="12"/>
      <c r="EL93" s="12"/>
      <c r="EM93" s="12"/>
      <c r="EN93" s="12"/>
      <c r="EO93" s="12"/>
      <c r="EP93" s="12"/>
      <c r="EQ93" s="12"/>
      <c r="ER93" s="12"/>
      <c r="ES93" s="12"/>
      <c r="ET93" s="12"/>
      <c r="EU93" s="12"/>
      <c r="EV93" s="12"/>
      <c r="EW93" s="12"/>
      <c r="EX93" s="12"/>
      <c r="EY93" s="12"/>
      <c r="EZ93" s="12"/>
    </row>
    <row r="94" spans="1:156" s="11" customFormat="1" ht="11.1" customHeight="1" x14ac:dyDescent="0.25">
      <c r="A94" s="8"/>
      <c r="B94" s="8"/>
      <c r="C94" s="8"/>
      <c r="D94" s="8"/>
      <c r="E94" s="9"/>
      <c r="F94" s="12"/>
      <c r="G94" s="834">
        <f t="shared" si="3"/>
        <v>34</v>
      </c>
      <c r="H94" s="835"/>
      <c r="I94" s="836"/>
      <c r="J94" s="827">
        <f>PLS!BF111</f>
        <v>0</v>
      </c>
      <c r="K94" s="828"/>
      <c r="L94" s="828"/>
      <c r="M94" s="828"/>
      <c r="N94" s="828"/>
      <c r="O94" s="829"/>
      <c r="P94" s="830">
        <f>Proposta_Constr_Individual!AM178</f>
        <v>0</v>
      </c>
      <c r="Q94" s="831"/>
      <c r="R94" s="831"/>
      <c r="S94" s="831"/>
      <c r="T94" s="831"/>
      <c r="U94" s="831"/>
      <c r="V94" s="831"/>
      <c r="W94" s="828">
        <f t="shared" si="0"/>
        <v>0</v>
      </c>
      <c r="X94" s="828"/>
      <c r="Y94" s="828"/>
      <c r="Z94" s="828"/>
      <c r="AA94" s="828"/>
      <c r="AB94" s="828"/>
      <c r="AC94" s="829"/>
      <c r="AD94" s="830"/>
      <c r="AE94" s="831"/>
      <c r="AF94" s="831"/>
      <c r="AG94" s="831"/>
      <c r="AH94" s="831"/>
      <c r="AI94" s="831"/>
      <c r="AJ94" s="830"/>
      <c r="AK94" s="831"/>
      <c r="AL94" s="831"/>
      <c r="AM94" s="831"/>
      <c r="AN94" s="831">
        <f t="shared" si="1"/>
        <v>0</v>
      </c>
      <c r="AO94" s="831"/>
      <c r="AP94" s="831"/>
      <c r="AQ94" s="828">
        <f t="shared" si="2"/>
        <v>0</v>
      </c>
      <c r="AR94" s="828"/>
      <c r="AS94" s="828"/>
      <c r="AT94" s="828"/>
      <c r="AU94" s="828"/>
      <c r="AV94" s="828"/>
      <c r="AW94" s="829"/>
      <c r="AX94" s="64"/>
      <c r="AY94" s="12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DG94" s="5"/>
      <c r="DH94" s="5"/>
      <c r="DI94" s="5"/>
      <c r="DM94" s="12"/>
      <c r="DN94" s="12"/>
      <c r="DO94" s="12"/>
      <c r="DP94" s="12"/>
      <c r="DQ94" s="12"/>
      <c r="DR94" s="12"/>
      <c r="DS94" s="12"/>
      <c r="DT94" s="12"/>
      <c r="DU94" s="12"/>
      <c r="DV94" s="12"/>
      <c r="DW94" s="12"/>
      <c r="DX94" s="12"/>
      <c r="DY94" s="12"/>
      <c r="DZ94" s="12"/>
      <c r="EA94" s="12"/>
      <c r="EB94" s="12"/>
      <c r="EC94" s="12"/>
      <c r="ED94" s="12"/>
      <c r="EE94" s="12"/>
      <c r="EF94" s="12"/>
      <c r="EG94" s="12"/>
      <c r="EH94" s="12"/>
      <c r="EI94" s="12"/>
      <c r="EJ94" s="12"/>
      <c r="EK94" s="12"/>
      <c r="EL94" s="12"/>
      <c r="EM94" s="12"/>
      <c r="EN94" s="12"/>
      <c r="EO94" s="12"/>
      <c r="EP94" s="12"/>
      <c r="EQ94" s="12"/>
      <c r="ER94" s="12"/>
      <c r="ES94" s="12"/>
      <c r="ET94" s="12"/>
      <c r="EU94" s="12"/>
      <c r="EV94" s="12"/>
      <c r="EW94" s="12"/>
      <c r="EX94" s="12"/>
      <c r="EY94" s="12"/>
      <c r="EZ94" s="12"/>
    </row>
    <row r="95" spans="1:156" s="11" customFormat="1" ht="11.1" customHeight="1" x14ac:dyDescent="0.25">
      <c r="A95" s="8"/>
      <c r="B95" s="8"/>
      <c r="C95" s="8"/>
      <c r="D95" s="8"/>
      <c r="E95" s="9"/>
      <c r="F95" s="12"/>
      <c r="G95" s="834">
        <f t="shared" si="3"/>
        <v>35</v>
      </c>
      <c r="H95" s="835"/>
      <c r="I95" s="836"/>
      <c r="J95" s="827">
        <f>PLS!BF112</f>
        <v>0</v>
      </c>
      <c r="K95" s="828"/>
      <c r="L95" s="828"/>
      <c r="M95" s="828"/>
      <c r="N95" s="828"/>
      <c r="O95" s="829"/>
      <c r="P95" s="830">
        <f>Proposta_Constr_Individual!AM179</f>
        <v>0</v>
      </c>
      <c r="Q95" s="831"/>
      <c r="R95" s="831"/>
      <c r="S95" s="831"/>
      <c r="T95" s="831"/>
      <c r="U95" s="831"/>
      <c r="V95" s="831"/>
      <c r="W95" s="828">
        <f t="shared" si="0"/>
        <v>0</v>
      </c>
      <c r="X95" s="828"/>
      <c r="Y95" s="828"/>
      <c r="Z95" s="828"/>
      <c r="AA95" s="828"/>
      <c r="AB95" s="828"/>
      <c r="AC95" s="829"/>
      <c r="AD95" s="830"/>
      <c r="AE95" s="831"/>
      <c r="AF95" s="831"/>
      <c r="AG95" s="831"/>
      <c r="AH95" s="831"/>
      <c r="AI95" s="831"/>
      <c r="AJ95" s="830"/>
      <c r="AK95" s="831"/>
      <c r="AL95" s="831"/>
      <c r="AM95" s="831"/>
      <c r="AN95" s="831">
        <f t="shared" si="1"/>
        <v>0</v>
      </c>
      <c r="AO95" s="831"/>
      <c r="AP95" s="831"/>
      <c r="AQ95" s="828">
        <f t="shared" si="2"/>
        <v>0</v>
      </c>
      <c r="AR95" s="828"/>
      <c r="AS95" s="828"/>
      <c r="AT95" s="828"/>
      <c r="AU95" s="828"/>
      <c r="AV95" s="828"/>
      <c r="AW95" s="829"/>
      <c r="AX95" s="64"/>
      <c r="AY95" s="12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DG95" s="5"/>
      <c r="DH95" s="5"/>
      <c r="DI95" s="5"/>
      <c r="DM95" s="12"/>
      <c r="DN95" s="12"/>
      <c r="DO95" s="12"/>
      <c r="DP95" s="12"/>
      <c r="DQ95" s="12"/>
      <c r="DR95" s="12"/>
      <c r="DS95" s="12"/>
      <c r="DT95" s="12"/>
      <c r="DU95" s="12"/>
      <c r="DV95" s="12"/>
      <c r="DW95" s="12"/>
      <c r="DX95" s="12"/>
      <c r="DY95" s="12"/>
      <c r="DZ95" s="12"/>
      <c r="EA95" s="12"/>
      <c r="EB95" s="12"/>
      <c r="EC95" s="12"/>
      <c r="ED95" s="12"/>
      <c r="EE95" s="12"/>
      <c r="EF95" s="12"/>
      <c r="EG95" s="12"/>
      <c r="EH95" s="12"/>
      <c r="EI95" s="12"/>
      <c r="EJ95" s="12"/>
      <c r="EK95" s="12"/>
      <c r="EL95" s="12"/>
      <c r="EM95" s="12"/>
      <c r="EN95" s="12"/>
      <c r="EO95" s="12"/>
      <c r="EP95" s="12"/>
      <c r="EQ95" s="12"/>
      <c r="ER95" s="12"/>
      <c r="ES95" s="12"/>
      <c r="ET95" s="12"/>
      <c r="EU95" s="12"/>
      <c r="EV95" s="12"/>
      <c r="EW95" s="12"/>
      <c r="EX95" s="12"/>
      <c r="EY95" s="12"/>
      <c r="EZ95" s="12"/>
    </row>
    <row r="96" spans="1:156" s="11" customFormat="1" ht="11.1" customHeight="1" x14ac:dyDescent="0.25">
      <c r="A96" s="8"/>
      <c r="B96" s="8"/>
      <c r="C96" s="8"/>
      <c r="D96" s="8"/>
      <c r="E96" s="9"/>
      <c r="F96" s="12"/>
      <c r="G96" s="834">
        <f t="shared" si="3"/>
        <v>36</v>
      </c>
      <c r="H96" s="835"/>
      <c r="I96" s="836"/>
      <c r="J96" s="827">
        <f>PLS!BF113</f>
        <v>0</v>
      </c>
      <c r="K96" s="828"/>
      <c r="L96" s="828"/>
      <c r="M96" s="828"/>
      <c r="N96" s="828"/>
      <c r="O96" s="829"/>
      <c r="P96" s="830">
        <f>Proposta_Constr_Individual!AM180</f>
        <v>0</v>
      </c>
      <c r="Q96" s="831"/>
      <c r="R96" s="831"/>
      <c r="S96" s="831"/>
      <c r="T96" s="831"/>
      <c r="U96" s="831"/>
      <c r="V96" s="831"/>
      <c r="W96" s="828">
        <f t="shared" si="0"/>
        <v>0</v>
      </c>
      <c r="X96" s="828"/>
      <c r="Y96" s="828"/>
      <c r="Z96" s="828"/>
      <c r="AA96" s="828"/>
      <c r="AB96" s="828"/>
      <c r="AC96" s="829"/>
      <c r="AD96" s="830"/>
      <c r="AE96" s="831"/>
      <c r="AF96" s="831"/>
      <c r="AG96" s="831"/>
      <c r="AH96" s="831"/>
      <c r="AI96" s="831"/>
      <c r="AJ96" s="830"/>
      <c r="AK96" s="831"/>
      <c r="AL96" s="831"/>
      <c r="AM96" s="831"/>
      <c r="AN96" s="831">
        <f t="shared" si="1"/>
        <v>0</v>
      </c>
      <c r="AO96" s="831"/>
      <c r="AP96" s="831"/>
      <c r="AQ96" s="828">
        <f t="shared" si="2"/>
        <v>0</v>
      </c>
      <c r="AR96" s="828"/>
      <c r="AS96" s="828"/>
      <c r="AT96" s="828"/>
      <c r="AU96" s="828"/>
      <c r="AV96" s="828"/>
      <c r="AW96" s="829"/>
      <c r="AX96" s="64"/>
      <c r="AY96" s="12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DG96" s="5"/>
      <c r="DH96" s="5"/>
      <c r="DI96" s="5"/>
      <c r="DM96" s="12"/>
      <c r="DN96" s="12"/>
      <c r="DO96" s="12"/>
      <c r="DP96" s="12"/>
      <c r="DQ96" s="12"/>
      <c r="DR96" s="12"/>
      <c r="DS96" s="12"/>
      <c r="DT96" s="12"/>
      <c r="DU96" s="12"/>
      <c r="DV96" s="12"/>
      <c r="DW96" s="12"/>
      <c r="DX96" s="12"/>
      <c r="DY96" s="12"/>
      <c r="DZ96" s="12"/>
      <c r="EA96" s="12"/>
      <c r="EB96" s="12"/>
      <c r="EC96" s="12"/>
      <c r="ED96" s="12"/>
      <c r="EE96" s="12"/>
      <c r="EF96" s="12"/>
      <c r="EG96" s="12"/>
      <c r="EH96" s="12"/>
      <c r="EI96" s="12"/>
      <c r="EJ96" s="12"/>
      <c r="EK96" s="12"/>
      <c r="EL96" s="12"/>
      <c r="EM96" s="12"/>
      <c r="EN96" s="12"/>
      <c r="EO96" s="12"/>
      <c r="EP96" s="12"/>
      <c r="EQ96" s="12"/>
      <c r="ER96" s="12"/>
      <c r="ES96" s="12"/>
      <c r="ET96" s="12"/>
      <c r="EU96" s="12"/>
      <c r="EV96" s="12"/>
      <c r="EW96" s="12"/>
      <c r="EX96" s="12"/>
      <c r="EY96" s="12"/>
      <c r="EZ96" s="12"/>
    </row>
    <row r="97" spans="1:156" s="11" customFormat="1" ht="11.1" customHeight="1" x14ac:dyDescent="0.25">
      <c r="A97" s="8"/>
      <c r="B97" s="8"/>
      <c r="C97" s="8"/>
      <c r="D97" s="8"/>
      <c r="E97" s="9"/>
      <c r="F97" s="12"/>
      <c r="G97" s="837" t="s">
        <v>200</v>
      </c>
      <c r="H97" s="838"/>
      <c r="I97" s="839"/>
      <c r="J97" s="867"/>
      <c r="K97" s="868"/>
      <c r="L97" s="868"/>
      <c r="M97" s="868"/>
      <c r="N97" s="868"/>
      <c r="O97" s="869"/>
      <c r="P97" s="870">
        <f>SUM(P60:V96)</f>
        <v>0</v>
      </c>
      <c r="Q97" s="828"/>
      <c r="R97" s="828"/>
      <c r="S97" s="828"/>
      <c r="T97" s="828"/>
      <c r="U97" s="828"/>
      <c r="V97" s="829"/>
      <c r="W97" s="870"/>
      <c r="X97" s="828"/>
      <c r="Y97" s="828"/>
      <c r="Z97" s="828"/>
      <c r="AA97" s="828"/>
      <c r="AB97" s="828"/>
      <c r="AC97" s="829"/>
      <c r="AD97" s="867"/>
      <c r="AE97" s="868"/>
      <c r="AF97" s="868"/>
      <c r="AG97" s="868"/>
      <c r="AH97" s="868"/>
      <c r="AI97" s="868"/>
      <c r="AJ97" s="871">
        <f>SUM(AJ60:AP96)</f>
        <v>0</v>
      </c>
      <c r="AK97" s="872"/>
      <c r="AL97" s="872"/>
      <c r="AM97" s="872"/>
      <c r="AN97" s="872">
        <f>MAX(AN60:AW96)</f>
        <v>0</v>
      </c>
      <c r="AO97" s="872"/>
      <c r="AP97" s="873"/>
      <c r="AQ97" s="870"/>
      <c r="AR97" s="828"/>
      <c r="AS97" s="828"/>
      <c r="AT97" s="828"/>
      <c r="AU97" s="828"/>
      <c r="AV97" s="828"/>
      <c r="AW97" s="829"/>
      <c r="AX97" s="12"/>
      <c r="AY97" s="12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DM97" s="12"/>
      <c r="DN97" s="12"/>
      <c r="DO97" s="12"/>
      <c r="DP97" s="12"/>
      <c r="DQ97" s="12"/>
      <c r="DR97" s="12"/>
      <c r="DS97" s="12"/>
      <c r="DT97" s="12"/>
      <c r="DU97" s="12"/>
      <c r="DV97" s="12"/>
      <c r="DW97" s="12"/>
      <c r="DX97" s="12"/>
      <c r="DY97" s="12"/>
      <c r="DZ97" s="12"/>
      <c r="EA97" s="12"/>
      <c r="EB97" s="12"/>
      <c r="EC97" s="12"/>
      <c r="ED97" s="12"/>
      <c r="EE97" s="12"/>
      <c r="EF97" s="12"/>
      <c r="EG97" s="12"/>
      <c r="EH97" s="12"/>
      <c r="EI97" s="12"/>
      <c r="EJ97" s="12"/>
      <c r="EK97" s="12"/>
      <c r="EL97" s="12"/>
      <c r="EM97" s="12"/>
      <c r="EN97" s="12"/>
      <c r="EO97" s="12"/>
      <c r="EP97" s="12"/>
      <c r="EQ97" s="12"/>
      <c r="ER97" s="12"/>
      <c r="ES97" s="12"/>
      <c r="ET97" s="12"/>
      <c r="EU97" s="12"/>
      <c r="EV97" s="12"/>
      <c r="EW97" s="12"/>
      <c r="EX97" s="12"/>
      <c r="EY97" s="12"/>
      <c r="EZ97" s="12"/>
    </row>
    <row r="98" spans="1:156" s="11" customFormat="1" ht="3.9" customHeight="1" x14ac:dyDescent="0.25">
      <c r="A98" s="8"/>
      <c r="B98" s="8"/>
      <c r="C98" s="8"/>
      <c r="D98" s="8"/>
      <c r="E98" s="9" t="s">
        <v>9</v>
      </c>
      <c r="F98" s="54"/>
      <c r="AX98" s="12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DM98" s="12"/>
      <c r="DN98" s="12"/>
      <c r="DO98" s="12"/>
      <c r="DP98" s="12"/>
      <c r="DQ98" s="12"/>
      <c r="DR98" s="12"/>
      <c r="DS98" s="12"/>
      <c r="DT98" s="12"/>
      <c r="DU98" s="12"/>
      <c r="DV98" s="12"/>
      <c r="DW98" s="12"/>
      <c r="DX98" s="12"/>
      <c r="DY98" s="12"/>
      <c r="DZ98" s="12"/>
      <c r="EA98" s="12"/>
      <c r="EB98" s="12"/>
      <c r="EC98" s="12"/>
      <c r="ED98" s="12"/>
      <c r="EE98" s="12"/>
      <c r="EF98" s="12"/>
      <c r="EG98" s="12"/>
      <c r="EH98" s="12"/>
      <c r="EI98" s="12"/>
      <c r="EJ98" s="12"/>
      <c r="EK98" s="12"/>
      <c r="EL98" s="12"/>
      <c r="EM98" s="12"/>
      <c r="EN98" s="12"/>
      <c r="EO98" s="12"/>
      <c r="EP98" s="12"/>
      <c r="EQ98" s="12"/>
      <c r="ER98" s="12"/>
      <c r="ES98" s="12"/>
      <c r="ET98" s="12"/>
      <c r="EU98" s="12"/>
      <c r="EV98" s="12"/>
      <c r="EW98" s="12"/>
      <c r="EX98" s="12"/>
      <c r="EY98" s="12"/>
      <c r="EZ98" s="12"/>
    </row>
    <row r="99" spans="1:156" s="11" customFormat="1" ht="11.1" customHeight="1" x14ac:dyDescent="0.25">
      <c r="A99" s="8"/>
      <c r="B99" s="8"/>
      <c r="C99" s="8"/>
      <c r="D99" s="8"/>
      <c r="E99" s="9"/>
      <c r="F99" s="12"/>
      <c r="G99" s="288" t="s">
        <v>489</v>
      </c>
      <c r="H99" s="289"/>
      <c r="I99" s="289"/>
      <c r="J99" s="289"/>
      <c r="K99" s="289"/>
      <c r="L99" s="289"/>
      <c r="M99" s="289"/>
      <c r="N99" s="289"/>
      <c r="O99" s="289"/>
      <c r="P99" s="289"/>
      <c r="Q99" s="289"/>
      <c r="R99" s="289"/>
      <c r="S99" s="289"/>
      <c r="T99" s="289"/>
      <c r="U99" s="289"/>
      <c r="V99" s="289"/>
      <c r="W99" s="289"/>
      <c r="X99" s="289"/>
      <c r="Y99" s="289"/>
      <c r="Z99" s="289"/>
      <c r="AA99" s="289"/>
      <c r="AB99" s="289"/>
      <c r="AC99" s="289"/>
      <c r="AD99" s="289"/>
      <c r="AE99" s="289"/>
      <c r="AF99" s="289"/>
      <c r="AG99" s="289"/>
      <c r="AH99" s="289"/>
      <c r="AI99" s="289"/>
      <c r="AJ99" s="289"/>
      <c r="AK99" s="289"/>
      <c r="AL99" s="289"/>
      <c r="AM99" s="289"/>
      <c r="AN99" s="289"/>
      <c r="AO99" s="289"/>
      <c r="AP99" s="289"/>
      <c r="AQ99" s="289"/>
      <c r="AR99" s="289"/>
      <c r="AS99" s="289"/>
      <c r="AT99" s="289"/>
      <c r="AU99" s="289"/>
      <c r="AV99" s="289"/>
      <c r="AW99" s="290"/>
      <c r="AX99" s="12"/>
      <c r="AY99" s="12"/>
      <c r="AZ99" s="5"/>
      <c r="BA99" s="5"/>
      <c r="BB99" s="5"/>
      <c r="BC99" s="5"/>
      <c r="BD99" s="5"/>
      <c r="BE99" s="5"/>
      <c r="BF99" s="5"/>
      <c r="BG99" s="5"/>
      <c r="BH99" s="5"/>
      <c r="BI99" s="5"/>
      <c r="BM99" s="5"/>
      <c r="BN99" s="5"/>
      <c r="BO99" s="5"/>
      <c r="BP99" s="5"/>
      <c r="BQ99" s="5"/>
      <c r="BR99" s="5"/>
      <c r="BS99" s="5"/>
      <c r="BT99" s="5"/>
      <c r="DM99" s="12"/>
      <c r="DN99" s="12"/>
      <c r="DO99" s="12"/>
      <c r="DP99" s="12"/>
      <c r="DQ99" s="12"/>
      <c r="DR99" s="12"/>
      <c r="DS99" s="12"/>
      <c r="DT99" s="12"/>
      <c r="DU99" s="12"/>
      <c r="DV99" s="12"/>
      <c r="DW99" s="12"/>
      <c r="DX99" s="12"/>
      <c r="DY99" s="12"/>
      <c r="DZ99" s="12"/>
      <c r="EA99" s="12"/>
      <c r="EB99" s="12"/>
      <c r="EC99" s="12"/>
      <c r="ED99" s="12"/>
      <c r="EE99" s="12"/>
      <c r="EF99" s="12"/>
      <c r="EG99" s="12"/>
      <c r="EH99" s="12"/>
      <c r="EI99" s="12"/>
      <c r="EJ99" s="12"/>
      <c r="EK99" s="12"/>
      <c r="EL99" s="12"/>
      <c r="EM99" s="12"/>
      <c r="EN99" s="12"/>
      <c r="EO99" s="12"/>
      <c r="EP99" s="12"/>
      <c r="EQ99" s="12"/>
      <c r="ER99" s="12"/>
      <c r="ES99" s="12"/>
      <c r="ET99" s="12"/>
      <c r="EU99" s="12"/>
      <c r="EV99" s="12"/>
      <c r="EW99" s="12"/>
      <c r="EX99" s="12"/>
      <c r="EY99" s="12"/>
      <c r="EZ99" s="12"/>
    </row>
    <row r="100" spans="1:156" ht="11.1" customHeight="1" x14ac:dyDescent="0.25">
      <c r="A100" s="12"/>
      <c r="B100" s="12"/>
      <c r="C100" s="12"/>
      <c r="D100" s="12"/>
      <c r="E100" s="61"/>
      <c r="F100" s="44"/>
      <c r="G100" s="840"/>
      <c r="H100" s="841"/>
      <c r="I100" s="841"/>
      <c r="J100" s="841"/>
      <c r="K100" s="841"/>
      <c r="L100" s="841"/>
      <c r="M100" s="841"/>
      <c r="N100" s="841"/>
      <c r="O100" s="841"/>
      <c r="P100" s="841"/>
      <c r="Q100" s="841"/>
      <c r="R100" s="841"/>
      <c r="S100" s="841"/>
      <c r="T100" s="841"/>
      <c r="U100" s="841"/>
      <c r="V100" s="841"/>
      <c r="W100" s="841"/>
      <c r="X100" s="841"/>
      <c r="Y100" s="841"/>
      <c r="Z100" s="841"/>
      <c r="AA100" s="841"/>
      <c r="AB100" s="841"/>
      <c r="AC100" s="841"/>
      <c r="AD100" s="841"/>
      <c r="AE100" s="841"/>
      <c r="AF100" s="841"/>
      <c r="AG100" s="841"/>
      <c r="AH100" s="841"/>
      <c r="AI100" s="841"/>
      <c r="AJ100" s="841"/>
      <c r="AK100" s="841"/>
      <c r="AL100" s="841"/>
      <c r="AM100" s="841"/>
      <c r="AN100" s="841"/>
      <c r="AO100" s="841"/>
      <c r="AP100" s="841"/>
      <c r="AQ100" s="841"/>
      <c r="AR100" s="841"/>
      <c r="AS100" s="841"/>
      <c r="AT100" s="841"/>
      <c r="AU100" s="841"/>
      <c r="AV100" s="841"/>
      <c r="AW100" s="842"/>
      <c r="AY100" s="11"/>
      <c r="BA100" s="12"/>
      <c r="BB100" s="12"/>
      <c r="BC100" s="62"/>
      <c r="BD100" s="42"/>
      <c r="BE100" s="12"/>
      <c r="BF100" s="12"/>
      <c r="BG100" s="12"/>
      <c r="BH100" s="12"/>
      <c r="BI100" s="12"/>
      <c r="BM100" s="5"/>
      <c r="BN100" s="5"/>
      <c r="BO100" s="5"/>
      <c r="BP100" s="5"/>
      <c r="BQ100" s="5"/>
      <c r="BR100" s="5"/>
      <c r="BS100" s="5"/>
      <c r="BT100" s="5"/>
      <c r="BU100" s="12"/>
      <c r="CN100" s="12"/>
      <c r="CO100" s="12"/>
      <c r="DI100" s="12"/>
      <c r="DJ100" s="12"/>
      <c r="DK100" s="12"/>
      <c r="DL100" s="12"/>
    </row>
    <row r="101" spans="1:156" ht="11.1" customHeight="1" x14ac:dyDescent="0.25">
      <c r="A101" s="12"/>
      <c r="B101" s="12"/>
      <c r="C101" s="12"/>
      <c r="D101" s="12"/>
      <c r="E101" s="61"/>
      <c r="F101" s="44"/>
      <c r="G101" s="843"/>
      <c r="H101" s="844"/>
      <c r="I101" s="844"/>
      <c r="J101" s="844"/>
      <c r="K101" s="844"/>
      <c r="L101" s="844"/>
      <c r="M101" s="844"/>
      <c r="N101" s="844"/>
      <c r="O101" s="844"/>
      <c r="P101" s="844"/>
      <c r="Q101" s="844"/>
      <c r="R101" s="844"/>
      <c r="S101" s="844"/>
      <c r="T101" s="844"/>
      <c r="U101" s="844"/>
      <c r="V101" s="844"/>
      <c r="W101" s="844"/>
      <c r="X101" s="844"/>
      <c r="Y101" s="844"/>
      <c r="Z101" s="844"/>
      <c r="AA101" s="844"/>
      <c r="AB101" s="844"/>
      <c r="AC101" s="844"/>
      <c r="AD101" s="844"/>
      <c r="AE101" s="844"/>
      <c r="AF101" s="844"/>
      <c r="AG101" s="844"/>
      <c r="AH101" s="844"/>
      <c r="AI101" s="844"/>
      <c r="AJ101" s="844"/>
      <c r="AK101" s="844"/>
      <c r="AL101" s="844"/>
      <c r="AM101" s="844"/>
      <c r="AN101" s="844"/>
      <c r="AO101" s="844"/>
      <c r="AP101" s="844"/>
      <c r="AQ101" s="844"/>
      <c r="AR101" s="844"/>
      <c r="AS101" s="844"/>
      <c r="AT101" s="844"/>
      <c r="AU101" s="844"/>
      <c r="AV101" s="844"/>
      <c r="AW101" s="845"/>
      <c r="AY101" s="11"/>
      <c r="BA101" s="12"/>
      <c r="BB101" s="12"/>
      <c r="BC101" s="62"/>
      <c r="BD101" s="42"/>
      <c r="BE101" s="12"/>
      <c r="BF101" s="12"/>
      <c r="BG101" s="12"/>
      <c r="BH101" s="12"/>
      <c r="BI101" s="12"/>
      <c r="BM101" s="5"/>
      <c r="BN101" s="5"/>
      <c r="BO101" s="5"/>
      <c r="BU101" s="12"/>
      <c r="BV101" s="12"/>
      <c r="BW101" s="12"/>
      <c r="BX101" s="12"/>
      <c r="BY101" s="12"/>
      <c r="BZ101" s="12"/>
      <c r="CA101" s="12"/>
      <c r="CB101" s="12"/>
      <c r="CC101" s="12"/>
      <c r="CD101" s="12"/>
      <c r="CE101" s="12"/>
      <c r="CF101" s="12"/>
      <c r="CG101" s="12"/>
      <c r="CH101" s="12"/>
      <c r="CI101" s="12"/>
      <c r="CJ101" s="12"/>
      <c r="CK101" s="12"/>
      <c r="CL101" s="12"/>
      <c r="CM101" s="12"/>
      <c r="CN101" s="12"/>
      <c r="CO101" s="12"/>
      <c r="CP101" s="12"/>
      <c r="CQ101" s="12"/>
      <c r="CR101" s="12"/>
      <c r="CS101" s="12"/>
      <c r="CT101" s="12"/>
      <c r="CU101" s="12"/>
      <c r="CV101" s="12"/>
      <c r="CW101" s="12"/>
      <c r="CX101" s="12"/>
      <c r="CY101" s="12"/>
      <c r="CZ101" s="12"/>
      <c r="DA101" s="12"/>
      <c r="DB101" s="12"/>
      <c r="DC101" s="12"/>
      <c r="DD101" s="12"/>
      <c r="DE101" s="12"/>
      <c r="DF101" s="12"/>
      <c r="DG101" s="12"/>
      <c r="DH101" s="12"/>
      <c r="DI101" s="12"/>
      <c r="DJ101" s="12"/>
      <c r="DK101" s="12"/>
      <c r="DL101" s="12"/>
    </row>
    <row r="102" spans="1:156" ht="11.1" customHeight="1" x14ac:dyDescent="0.25">
      <c r="A102" s="12"/>
      <c r="B102" s="12"/>
      <c r="C102" s="12"/>
      <c r="D102" s="12"/>
      <c r="E102" s="61"/>
      <c r="F102" s="44"/>
      <c r="G102" s="843"/>
      <c r="H102" s="844"/>
      <c r="I102" s="844"/>
      <c r="J102" s="844"/>
      <c r="K102" s="844"/>
      <c r="L102" s="844"/>
      <c r="M102" s="844"/>
      <c r="N102" s="844"/>
      <c r="O102" s="844"/>
      <c r="P102" s="844"/>
      <c r="Q102" s="844"/>
      <c r="R102" s="844"/>
      <c r="S102" s="844"/>
      <c r="T102" s="844"/>
      <c r="U102" s="844"/>
      <c r="V102" s="844"/>
      <c r="W102" s="844"/>
      <c r="X102" s="844"/>
      <c r="Y102" s="844"/>
      <c r="Z102" s="844"/>
      <c r="AA102" s="844"/>
      <c r="AB102" s="844"/>
      <c r="AC102" s="844"/>
      <c r="AD102" s="844"/>
      <c r="AE102" s="844"/>
      <c r="AF102" s="844"/>
      <c r="AG102" s="844"/>
      <c r="AH102" s="844"/>
      <c r="AI102" s="844"/>
      <c r="AJ102" s="844"/>
      <c r="AK102" s="844"/>
      <c r="AL102" s="844"/>
      <c r="AM102" s="844"/>
      <c r="AN102" s="844"/>
      <c r="AO102" s="844"/>
      <c r="AP102" s="844"/>
      <c r="AQ102" s="844"/>
      <c r="AR102" s="844"/>
      <c r="AS102" s="844"/>
      <c r="AT102" s="844"/>
      <c r="AU102" s="844"/>
      <c r="AV102" s="844"/>
      <c r="AW102" s="845"/>
      <c r="AY102" s="11"/>
      <c r="BA102" s="12"/>
      <c r="BB102" s="12"/>
      <c r="BC102" s="62"/>
      <c r="BD102" s="42"/>
      <c r="BE102" s="12"/>
      <c r="BF102" s="12"/>
      <c r="BG102" s="12"/>
      <c r="BH102" s="12"/>
      <c r="BI102" s="12"/>
      <c r="BM102" s="5"/>
      <c r="BN102" s="5"/>
      <c r="BO102" s="5"/>
      <c r="CR102" s="12"/>
      <c r="CS102" s="12"/>
      <c r="CT102" s="12"/>
      <c r="CU102" s="12"/>
      <c r="CV102" s="12"/>
      <c r="CW102" s="12"/>
      <c r="CX102" s="12"/>
      <c r="CY102" s="12"/>
      <c r="CZ102" s="12"/>
      <c r="DA102" s="12"/>
      <c r="DB102" s="12"/>
      <c r="DC102" s="12"/>
      <c r="DD102" s="12"/>
      <c r="DE102" s="12"/>
      <c r="DF102" s="12"/>
      <c r="DG102" s="12"/>
      <c r="DH102" s="12"/>
      <c r="DI102" s="12"/>
      <c r="DJ102" s="12"/>
      <c r="DK102" s="12"/>
      <c r="DL102" s="12"/>
    </row>
    <row r="103" spans="1:156" ht="11.1" customHeight="1" x14ac:dyDescent="0.25">
      <c r="A103" s="12"/>
      <c r="B103" s="12"/>
      <c r="C103" s="12"/>
      <c r="D103" s="12"/>
      <c r="E103" s="61"/>
      <c r="F103" s="44"/>
      <c r="G103" s="846"/>
      <c r="H103" s="847"/>
      <c r="I103" s="847"/>
      <c r="J103" s="847"/>
      <c r="K103" s="847"/>
      <c r="L103" s="847"/>
      <c r="M103" s="847"/>
      <c r="N103" s="847"/>
      <c r="O103" s="847"/>
      <c r="P103" s="847"/>
      <c r="Q103" s="847"/>
      <c r="R103" s="847"/>
      <c r="S103" s="847"/>
      <c r="T103" s="847"/>
      <c r="U103" s="847"/>
      <c r="V103" s="847"/>
      <c r="W103" s="847"/>
      <c r="X103" s="847"/>
      <c r="Y103" s="847"/>
      <c r="Z103" s="847"/>
      <c r="AA103" s="847"/>
      <c r="AB103" s="847"/>
      <c r="AC103" s="847"/>
      <c r="AD103" s="847"/>
      <c r="AE103" s="847"/>
      <c r="AF103" s="847"/>
      <c r="AG103" s="847"/>
      <c r="AH103" s="847"/>
      <c r="AI103" s="847"/>
      <c r="AJ103" s="847"/>
      <c r="AK103" s="847"/>
      <c r="AL103" s="847"/>
      <c r="AM103" s="847"/>
      <c r="AN103" s="847"/>
      <c r="AO103" s="847"/>
      <c r="AP103" s="847"/>
      <c r="AQ103" s="847"/>
      <c r="AR103" s="847"/>
      <c r="AS103" s="847"/>
      <c r="AT103" s="847"/>
      <c r="AU103" s="847"/>
      <c r="AV103" s="847"/>
      <c r="AW103" s="848"/>
      <c r="AY103" s="11"/>
      <c r="BA103" s="12"/>
      <c r="BB103" s="12"/>
      <c r="BC103" s="62"/>
      <c r="BD103" s="42"/>
      <c r="BE103" s="12"/>
      <c r="BF103" s="12"/>
      <c r="BG103" s="12"/>
      <c r="BH103" s="12"/>
      <c r="BI103" s="12"/>
      <c r="BM103" s="5"/>
      <c r="BN103" s="5"/>
      <c r="BO103" s="5"/>
      <c r="BU103" s="12"/>
      <c r="BV103" s="12"/>
      <c r="BW103" s="12"/>
      <c r="BX103" s="12"/>
      <c r="BY103" s="12"/>
      <c r="CL103" s="12"/>
      <c r="CM103" s="12"/>
      <c r="CN103" s="12"/>
      <c r="CO103" s="12"/>
      <c r="CP103" s="12"/>
      <c r="CQ103" s="12"/>
      <c r="CR103" s="12"/>
      <c r="CS103" s="12"/>
      <c r="CT103" s="12"/>
      <c r="CU103" s="12"/>
      <c r="CV103" s="12"/>
      <c r="CW103" s="12"/>
      <c r="CX103" s="12"/>
      <c r="CY103" s="12"/>
      <c r="CZ103" s="12"/>
      <c r="DA103" s="12"/>
      <c r="DB103" s="12"/>
      <c r="DC103" s="12"/>
      <c r="DD103" s="12"/>
      <c r="DE103" s="12"/>
      <c r="DF103" s="12"/>
      <c r="DG103" s="12"/>
      <c r="DH103" s="12"/>
      <c r="DI103" s="12"/>
      <c r="DJ103" s="12"/>
      <c r="DK103" s="12"/>
      <c r="DL103" s="12"/>
    </row>
    <row r="104" spans="1:156" s="11" customFormat="1" ht="10.5" customHeight="1" x14ac:dyDescent="0.25">
      <c r="A104" s="8"/>
      <c r="B104" s="8"/>
      <c r="C104" s="8"/>
      <c r="D104" s="8"/>
      <c r="E104" s="9" t="s">
        <v>9</v>
      </c>
      <c r="F104" s="54"/>
      <c r="AX104" s="12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M104" s="5"/>
      <c r="BN104" s="5"/>
      <c r="BO104" s="5"/>
      <c r="DM104" s="12"/>
      <c r="DN104" s="12"/>
      <c r="DO104" s="12"/>
      <c r="DP104" s="12"/>
      <c r="DQ104" s="12"/>
      <c r="DR104" s="12"/>
      <c r="DS104" s="12"/>
      <c r="DT104" s="12"/>
      <c r="DU104" s="12"/>
      <c r="DV104" s="12"/>
      <c r="DW104" s="12"/>
      <c r="DX104" s="12"/>
      <c r="DY104" s="12"/>
      <c r="DZ104" s="12"/>
      <c r="EA104" s="12"/>
      <c r="EB104" s="12"/>
      <c r="EC104" s="12"/>
      <c r="ED104" s="12"/>
      <c r="EE104" s="12"/>
      <c r="EF104" s="12"/>
      <c r="EG104" s="12"/>
      <c r="EH104" s="12"/>
      <c r="EI104" s="12"/>
      <c r="EJ104" s="12"/>
      <c r="EK104" s="12"/>
      <c r="EL104" s="12"/>
      <c r="EM104" s="12"/>
      <c r="EN104" s="12"/>
      <c r="EO104" s="12"/>
      <c r="EP104" s="12"/>
      <c r="EQ104" s="12"/>
      <c r="ER104" s="12"/>
      <c r="ES104" s="12"/>
      <c r="ET104" s="12"/>
      <c r="EU104" s="12"/>
      <c r="EV104" s="12"/>
      <c r="EW104" s="12"/>
      <c r="EX104" s="12"/>
      <c r="EY104" s="12"/>
      <c r="EZ104" s="12"/>
    </row>
    <row r="105" spans="1:156" ht="11.1" customHeight="1" thickBot="1" x14ac:dyDescent="0.3">
      <c r="F105" s="47"/>
      <c r="G105" s="48" t="s">
        <v>65</v>
      </c>
      <c r="H105" s="47"/>
      <c r="I105" s="47"/>
      <c r="J105" s="47"/>
      <c r="K105" s="47"/>
      <c r="L105" s="47"/>
      <c r="M105" s="47"/>
      <c r="N105" s="47"/>
      <c r="O105" s="47"/>
      <c r="P105" s="47"/>
      <c r="Q105" s="47"/>
      <c r="R105" s="47"/>
      <c r="S105" s="47"/>
      <c r="T105" s="47"/>
      <c r="U105" s="47"/>
      <c r="V105" s="47"/>
      <c r="W105" s="47"/>
      <c r="X105" s="47"/>
      <c r="Y105" s="47"/>
      <c r="Z105" s="47"/>
      <c r="AA105" s="47"/>
      <c r="AB105" s="47"/>
      <c r="AC105" s="47"/>
      <c r="AD105" s="47"/>
      <c r="AE105" s="47"/>
      <c r="AF105" s="47"/>
      <c r="AG105" s="47"/>
      <c r="AH105" s="47"/>
      <c r="AI105" s="47"/>
      <c r="AJ105" s="47"/>
      <c r="AK105" s="47"/>
      <c r="AL105" s="47"/>
      <c r="AM105" s="47"/>
      <c r="AN105" s="47"/>
      <c r="AO105" s="47"/>
      <c r="AP105" s="47"/>
      <c r="AQ105" s="47"/>
      <c r="AR105" s="47"/>
      <c r="AS105" s="47"/>
      <c r="AT105" s="47"/>
      <c r="AU105" s="47"/>
      <c r="AV105" s="47"/>
      <c r="AW105" s="47"/>
      <c r="AX105" s="49"/>
      <c r="AZ105" s="12"/>
      <c r="BA105"/>
      <c r="BB105"/>
      <c r="BC105"/>
      <c r="BD105"/>
      <c r="BE105"/>
      <c r="BF105"/>
      <c r="BG105" s="56"/>
      <c r="BH105"/>
      <c r="BI105" s="12"/>
      <c r="BJ105" s="12"/>
      <c r="BK105" s="12"/>
      <c r="BL105" s="12"/>
      <c r="BM105" s="12"/>
      <c r="BN105" s="12"/>
      <c r="BO105" s="12"/>
      <c r="BP105" s="12"/>
      <c r="BQ105" s="12"/>
      <c r="BR105" s="12"/>
      <c r="BS105" s="12"/>
      <c r="BT105" s="12"/>
      <c r="BU105" s="12"/>
      <c r="BV105" s="12"/>
      <c r="BW105" s="12"/>
      <c r="BX105" s="12"/>
      <c r="BY105" s="12"/>
      <c r="BZ105" s="12"/>
      <c r="CA105" s="12"/>
      <c r="CB105" s="12"/>
      <c r="CC105" s="12"/>
      <c r="CD105" s="12"/>
      <c r="CE105" s="12"/>
      <c r="CF105" s="12"/>
      <c r="CG105" s="12"/>
      <c r="CH105" s="12"/>
      <c r="CI105" s="12"/>
      <c r="CJ105" s="12"/>
      <c r="CK105" s="12"/>
      <c r="CL105" s="12"/>
      <c r="CM105" s="12"/>
      <c r="CN105" s="12"/>
      <c r="CO105" s="12"/>
      <c r="CP105" s="12"/>
      <c r="CQ105" s="12"/>
      <c r="CR105" s="12"/>
      <c r="CS105" s="12"/>
      <c r="CT105" s="12"/>
      <c r="CU105" s="12"/>
      <c r="CV105" s="12"/>
      <c r="CW105" s="12"/>
      <c r="CX105" s="12"/>
      <c r="CY105" s="12"/>
      <c r="CZ105" s="12"/>
      <c r="DA105" s="12"/>
      <c r="DB105" s="12"/>
      <c r="DC105" s="12"/>
      <c r="DD105" s="12"/>
      <c r="DE105" s="12"/>
      <c r="DF105" s="12"/>
      <c r="DG105" s="12"/>
      <c r="DH105" s="12"/>
      <c r="DI105" s="12"/>
      <c r="DJ105" s="12"/>
      <c r="DK105" s="12"/>
      <c r="DL105" s="12"/>
    </row>
    <row r="106" spans="1:156" ht="3.9" customHeight="1" x14ac:dyDescent="0.25">
      <c r="E106" s="9" t="s">
        <v>9</v>
      </c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44"/>
      <c r="AY106" s="11"/>
      <c r="BA106"/>
      <c r="BB106"/>
      <c r="BC106"/>
      <c r="BD106"/>
      <c r="BE106"/>
      <c r="BF106"/>
      <c r="BG106"/>
      <c r="BH106"/>
      <c r="BI106" s="12"/>
      <c r="BJ106" s="12"/>
      <c r="BK106" s="12"/>
      <c r="BL106" s="12"/>
      <c r="BM106" s="12"/>
      <c r="BN106" s="12"/>
      <c r="BO106" s="12"/>
      <c r="BP106" s="12"/>
      <c r="BQ106" s="12"/>
      <c r="BR106" s="12"/>
      <c r="BS106" s="12"/>
      <c r="BT106" s="12"/>
      <c r="BU106" s="12"/>
      <c r="BV106" s="12"/>
      <c r="BW106" s="12"/>
      <c r="BX106" s="12"/>
      <c r="BY106" s="12"/>
      <c r="BZ106" s="12"/>
      <c r="CA106" s="12"/>
      <c r="CB106" s="12"/>
      <c r="CC106" s="12"/>
      <c r="CD106" s="12"/>
      <c r="CE106" s="12"/>
      <c r="CF106" s="12"/>
      <c r="CG106" s="12"/>
      <c r="CH106" s="12"/>
      <c r="CI106" s="12"/>
      <c r="CJ106" s="12"/>
      <c r="CK106" s="12"/>
      <c r="CL106" s="12"/>
      <c r="CM106" s="12"/>
      <c r="CN106" s="12"/>
      <c r="CO106" s="12"/>
      <c r="CP106" s="12"/>
      <c r="CQ106" s="12"/>
      <c r="CR106" s="12"/>
      <c r="CS106" s="12"/>
      <c r="CT106" s="12"/>
      <c r="CU106" s="12"/>
      <c r="CV106" s="12"/>
      <c r="CW106" s="12"/>
      <c r="CX106" s="12"/>
      <c r="CY106" s="12"/>
      <c r="CZ106" s="12"/>
      <c r="DA106" s="12"/>
      <c r="DB106" s="12"/>
      <c r="DC106" s="12"/>
      <c r="DD106" s="12"/>
      <c r="DE106" s="12"/>
      <c r="DF106" s="12"/>
      <c r="DG106" s="12"/>
      <c r="DH106" s="12"/>
      <c r="DI106" s="12"/>
      <c r="DJ106" s="12"/>
      <c r="DK106" s="12"/>
      <c r="DL106" s="12"/>
    </row>
    <row r="107" spans="1:156" ht="11.1" customHeight="1" x14ac:dyDescent="0.25">
      <c r="F107" s="54"/>
      <c r="G107" s="849" t="s">
        <v>270</v>
      </c>
      <c r="H107" s="850"/>
      <c r="I107" s="850"/>
      <c r="J107" s="850"/>
      <c r="K107" s="850"/>
      <c r="L107" s="850"/>
      <c r="M107" s="850"/>
      <c r="N107" s="850"/>
      <c r="O107" s="850"/>
      <c r="P107" s="850"/>
      <c r="Q107" s="850"/>
      <c r="R107" s="850"/>
      <c r="S107" s="850"/>
      <c r="T107" s="850"/>
      <c r="U107" s="850"/>
      <c r="V107" s="850"/>
      <c r="W107" s="850"/>
      <c r="X107" s="850"/>
      <c r="Y107" s="850"/>
      <c r="Z107" s="850"/>
      <c r="AA107" s="851"/>
      <c r="AB107"/>
      <c r="AC107" s="849" t="s">
        <v>270</v>
      </c>
      <c r="AD107" s="850"/>
      <c r="AE107" s="850"/>
      <c r="AF107" s="850"/>
      <c r="AG107" s="850"/>
      <c r="AH107" s="850"/>
      <c r="AI107" s="850"/>
      <c r="AJ107" s="850"/>
      <c r="AK107" s="850"/>
      <c r="AL107" s="850"/>
      <c r="AM107" s="850"/>
      <c r="AN107" s="850"/>
      <c r="AO107" s="850"/>
      <c r="AP107" s="850"/>
      <c r="AQ107" s="850"/>
      <c r="AR107" s="850"/>
      <c r="AS107" s="850"/>
      <c r="AT107" s="850"/>
      <c r="AU107" s="850"/>
      <c r="AV107" s="850"/>
      <c r="AW107" s="851"/>
      <c r="AY107" s="11"/>
      <c r="BA107"/>
      <c r="BB107"/>
      <c r="BC107"/>
      <c r="BD107"/>
      <c r="BE107"/>
      <c r="BF107"/>
      <c r="BG107" s="56"/>
      <c r="BH107"/>
      <c r="BI107" s="12"/>
      <c r="BJ107" s="42"/>
      <c r="BK107" s="12"/>
      <c r="BL107" s="12"/>
      <c r="BM107" s="12"/>
      <c r="BN107" s="12"/>
      <c r="BO107" s="12"/>
      <c r="BP107" s="12"/>
      <c r="BQ107" s="12"/>
      <c r="BR107" s="12"/>
      <c r="BS107" s="12"/>
      <c r="BT107" s="12"/>
      <c r="BU107" s="12"/>
      <c r="BV107" s="12"/>
      <c r="BW107" s="12"/>
      <c r="BX107" s="12"/>
      <c r="BY107" s="12"/>
      <c r="BZ107" s="12"/>
      <c r="CA107" s="12"/>
      <c r="CB107" s="12"/>
      <c r="CC107" s="12"/>
      <c r="CD107" s="12"/>
      <c r="CE107" s="12"/>
      <c r="CF107" s="12"/>
      <c r="CG107" s="12"/>
      <c r="CH107" s="12"/>
      <c r="CI107" s="12"/>
      <c r="CJ107" s="12"/>
      <c r="CK107" s="12"/>
      <c r="CL107" s="12"/>
      <c r="CM107" s="12"/>
      <c r="CN107" s="12"/>
      <c r="CO107" s="12"/>
      <c r="CP107" s="12"/>
      <c r="CQ107" s="12"/>
      <c r="CR107" s="12"/>
      <c r="CS107" s="12"/>
      <c r="CT107" s="12"/>
      <c r="CU107" s="12"/>
      <c r="CV107" s="12"/>
      <c r="CW107" s="12"/>
      <c r="CX107" s="12"/>
      <c r="CY107" s="12"/>
      <c r="CZ107" s="12"/>
      <c r="DA107" s="12"/>
      <c r="DB107" s="12"/>
      <c r="DC107" s="12"/>
      <c r="DD107" s="12"/>
      <c r="DE107" s="12"/>
      <c r="DF107" s="12"/>
      <c r="DG107" s="12"/>
      <c r="DH107" s="12"/>
      <c r="DI107" s="12"/>
      <c r="DJ107" s="12"/>
      <c r="DK107" s="12"/>
      <c r="DL107" s="12"/>
    </row>
    <row r="108" spans="1:156" ht="11.1" customHeight="1" x14ac:dyDescent="0.25">
      <c r="F108" s="54"/>
      <c r="G108" s="625"/>
      <c r="H108" s="852"/>
      <c r="I108" s="852"/>
      <c r="J108" s="852"/>
      <c r="K108" s="852"/>
      <c r="L108" s="852"/>
      <c r="M108" s="852"/>
      <c r="N108" s="852"/>
      <c r="O108" s="852"/>
      <c r="P108" s="852"/>
      <c r="Q108" s="852"/>
      <c r="R108" s="852"/>
      <c r="S108" s="852"/>
      <c r="T108" s="852"/>
      <c r="U108" s="852"/>
      <c r="V108" s="852"/>
      <c r="W108" s="852"/>
      <c r="X108" s="852"/>
      <c r="Y108" s="852"/>
      <c r="Z108" s="852"/>
      <c r="AA108" s="627"/>
      <c r="AB108"/>
      <c r="AC108" s="625"/>
      <c r="AD108" s="852"/>
      <c r="AE108" s="852"/>
      <c r="AF108" s="852"/>
      <c r="AG108" s="852"/>
      <c r="AH108" s="852"/>
      <c r="AI108" s="852"/>
      <c r="AJ108" s="852"/>
      <c r="AK108" s="852"/>
      <c r="AL108" s="852"/>
      <c r="AM108" s="852"/>
      <c r="AN108" s="852"/>
      <c r="AO108" s="852"/>
      <c r="AP108" s="852"/>
      <c r="AQ108" s="852"/>
      <c r="AR108" s="852"/>
      <c r="AS108" s="852"/>
      <c r="AT108" s="852"/>
      <c r="AU108" s="852"/>
      <c r="AV108" s="852"/>
      <c r="AW108" s="627"/>
      <c r="AY108" s="11"/>
      <c r="BA108"/>
      <c r="BB108"/>
      <c r="BC108"/>
      <c r="BD108"/>
      <c r="BE108"/>
      <c r="BF108"/>
      <c r="BG108" s="56"/>
      <c r="BH108"/>
      <c r="BI108" s="12"/>
      <c r="BJ108" s="12"/>
      <c r="BK108" s="12"/>
      <c r="BL108" s="12"/>
      <c r="BM108" s="12"/>
      <c r="BN108" s="12"/>
      <c r="BO108" s="12"/>
      <c r="BP108" s="12"/>
      <c r="BQ108" s="12"/>
      <c r="BR108" s="12"/>
      <c r="BS108" s="12"/>
      <c r="BT108" s="12"/>
      <c r="BU108" s="12"/>
      <c r="BV108" s="12"/>
      <c r="BW108" s="12"/>
      <c r="BX108" s="12"/>
      <c r="BY108" s="12"/>
      <c r="BZ108" s="12"/>
      <c r="CA108" s="12"/>
      <c r="CB108" s="12"/>
      <c r="CC108" s="12"/>
      <c r="CD108" s="12"/>
      <c r="CE108" s="12"/>
      <c r="CF108" s="12"/>
      <c r="CG108" s="12"/>
      <c r="CH108" s="12"/>
      <c r="CI108" s="12"/>
      <c r="CJ108" s="12"/>
      <c r="CK108" s="12"/>
      <c r="CL108" s="12"/>
      <c r="CM108" s="12"/>
      <c r="CN108" s="12"/>
      <c r="CO108" s="12"/>
      <c r="CP108" s="12"/>
      <c r="CQ108" s="12"/>
      <c r="CR108" s="12"/>
      <c r="CS108" s="12"/>
      <c r="CT108" s="12"/>
      <c r="CU108" s="12"/>
      <c r="CV108" s="12"/>
      <c r="CW108" s="12"/>
      <c r="CX108" s="12"/>
      <c r="CY108" s="12"/>
      <c r="CZ108" s="12"/>
      <c r="DA108" s="12"/>
      <c r="DB108" s="12"/>
      <c r="DC108" s="12"/>
      <c r="DD108" s="12"/>
      <c r="DE108" s="12"/>
      <c r="DF108" s="12"/>
      <c r="DG108" s="12"/>
      <c r="DH108" s="12"/>
      <c r="DI108" s="12"/>
      <c r="DJ108" s="12"/>
      <c r="DK108" s="12"/>
      <c r="DL108" s="12"/>
    </row>
    <row r="109" spans="1:156" ht="11.1" customHeight="1" x14ac:dyDescent="0.25">
      <c r="F109" s="54"/>
      <c r="G109" s="625"/>
      <c r="H109" s="852"/>
      <c r="I109" s="852"/>
      <c r="J109" s="852"/>
      <c r="K109" s="852"/>
      <c r="L109" s="852"/>
      <c r="M109" s="852"/>
      <c r="N109" s="852"/>
      <c r="O109" s="852"/>
      <c r="P109" s="852"/>
      <c r="Q109" s="852"/>
      <c r="R109" s="852"/>
      <c r="S109" s="852"/>
      <c r="T109" s="852"/>
      <c r="U109" s="852"/>
      <c r="V109" s="852"/>
      <c r="W109" s="852"/>
      <c r="X109" s="852"/>
      <c r="Y109" s="852"/>
      <c r="Z109" s="852"/>
      <c r="AA109" s="627"/>
      <c r="AB109"/>
      <c r="AC109" s="625"/>
      <c r="AD109" s="852"/>
      <c r="AE109" s="852"/>
      <c r="AF109" s="852"/>
      <c r="AG109" s="852"/>
      <c r="AH109" s="852"/>
      <c r="AI109" s="852"/>
      <c r="AJ109" s="852"/>
      <c r="AK109" s="852"/>
      <c r="AL109" s="852"/>
      <c r="AM109" s="852"/>
      <c r="AN109" s="852"/>
      <c r="AO109" s="852"/>
      <c r="AP109" s="852"/>
      <c r="AQ109" s="852"/>
      <c r="AR109" s="852"/>
      <c r="AS109" s="852"/>
      <c r="AT109" s="852"/>
      <c r="AU109" s="852"/>
      <c r="AV109" s="852"/>
      <c r="AW109" s="627"/>
      <c r="AY109" s="11"/>
      <c r="BA109"/>
      <c r="BB109"/>
      <c r="BC109"/>
      <c r="BD109"/>
      <c r="BE109"/>
      <c r="BF109"/>
      <c r="BG109" s="56"/>
      <c r="BH109"/>
      <c r="BI109" s="12"/>
      <c r="BJ109" s="12"/>
      <c r="BK109" s="12"/>
      <c r="BL109" s="12"/>
      <c r="BM109" s="12"/>
      <c r="BN109" s="12"/>
      <c r="BO109" s="12"/>
      <c r="BP109" s="12"/>
      <c r="BQ109" s="12"/>
      <c r="BR109" s="12"/>
      <c r="BS109" s="12"/>
      <c r="BT109" s="12"/>
      <c r="BU109" s="12"/>
      <c r="BV109" s="12"/>
      <c r="BW109" s="12"/>
      <c r="BX109" s="12"/>
      <c r="BY109" s="12"/>
      <c r="BZ109" s="12"/>
      <c r="CA109" s="12"/>
      <c r="CB109" s="12"/>
      <c r="CC109" s="12"/>
      <c r="CD109" s="12"/>
      <c r="CE109" s="12"/>
      <c r="CF109" s="12"/>
      <c r="CG109" s="12"/>
      <c r="CH109" s="12"/>
      <c r="CI109" s="12"/>
      <c r="CJ109" s="12"/>
      <c r="CK109" s="12"/>
      <c r="CL109" s="12"/>
      <c r="CM109" s="12"/>
      <c r="CN109" s="12"/>
      <c r="CO109" s="12"/>
      <c r="CP109" s="12"/>
      <c r="CQ109" s="12"/>
      <c r="CR109" s="12"/>
      <c r="CS109" s="12"/>
      <c r="CT109" s="12"/>
      <c r="CU109" s="12"/>
      <c r="CV109" s="12"/>
      <c r="CW109" s="12"/>
      <c r="CX109" s="12"/>
      <c r="CY109" s="12"/>
      <c r="CZ109" s="12"/>
      <c r="DA109" s="12"/>
      <c r="DB109" s="12"/>
      <c r="DC109" s="12"/>
      <c r="DD109" s="12"/>
      <c r="DE109" s="12"/>
      <c r="DF109" s="12"/>
      <c r="DG109" s="12"/>
      <c r="DH109" s="12"/>
      <c r="DI109" s="12"/>
      <c r="DJ109" s="12"/>
      <c r="DK109" s="12"/>
      <c r="DL109" s="12"/>
    </row>
    <row r="110" spans="1:156" ht="11.1" customHeight="1" x14ac:dyDescent="0.25">
      <c r="F110" s="54"/>
      <c r="G110" s="625"/>
      <c r="H110" s="852"/>
      <c r="I110" s="852"/>
      <c r="J110" s="852"/>
      <c r="K110" s="852"/>
      <c r="L110" s="852"/>
      <c r="M110" s="852"/>
      <c r="N110" s="852"/>
      <c r="O110" s="852"/>
      <c r="P110" s="852"/>
      <c r="Q110" s="852"/>
      <c r="R110" s="852"/>
      <c r="S110" s="852"/>
      <c r="T110" s="852"/>
      <c r="U110" s="852"/>
      <c r="V110" s="852"/>
      <c r="W110" s="852"/>
      <c r="X110" s="852"/>
      <c r="Y110" s="852"/>
      <c r="Z110" s="852"/>
      <c r="AA110" s="627"/>
      <c r="AB110"/>
      <c r="AC110" s="625"/>
      <c r="AD110" s="852"/>
      <c r="AE110" s="852"/>
      <c r="AF110" s="852"/>
      <c r="AG110" s="852"/>
      <c r="AH110" s="852"/>
      <c r="AI110" s="852"/>
      <c r="AJ110" s="852"/>
      <c r="AK110" s="852"/>
      <c r="AL110" s="852"/>
      <c r="AM110" s="852"/>
      <c r="AN110" s="852"/>
      <c r="AO110" s="852"/>
      <c r="AP110" s="852"/>
      <c r="AQ110" s="852"/>
      <c r="AR110" s="852"/>
      <c r="AS110" s="852"/>
      <c r="AT110" s="852"/>
      <c r="AU110" s="852"/>
      <c r="AV110" s="852"/>
      <c r="AW110" s="627"/>
      <c r="AY110" s="11"/>
      <c r="BA110"/>
      <c r="BB110"/>
      <c r="BC110"/>
      <c r="BD110"/>
      <c r="BE110"/>
      <c r="BF110"/>
      <c r="BG110"/>
      <c r="BH110"/>
      <c r="BI110" s="12"/>
      <c r="BJ110" s="12"/>
      <c r="BK110" s="12"/>
      <c r="BL110" s="12"/>
      <c r="BM110" s="12"/>
      <c r="BN110" s="12"/>
      <c r="BO110" s="12"/>
      <c r="BP110" s="12"/>
      <c r="BQ110" s="12"/>
      <c r="BR110" s="12"/>
      <c r="BS110" s="12"/>
      <c r="BT110" s="12"/>
      <c r="BU110" s="12"/>
      <c r="BV110" s="12"/>
      <c r="BW110" s="12"/>
      <c r="BX110" s="12"/>
      <c r="BY110" s="12"/>
      <c r="BZ110" s="12"/>
      <c r="CA110" s="12"/>
      <c r="CB110" s="12"/>
      <c r="CC110" s="12"/>
      <c r="CD110" s="12"/>
      <c r="CE110" s="12"/>
      <c r="CF110" s="12"/>
      <c r="CG110" s="12"/>
      <c r="CH110" s="12"/>
      <c r="CI110" s="12"/>
      <c r="CJ110" s="12"/>
      <c r="CK110" s="12"/>
      <c r="CL110" s="12"/>
      <c r="CM110" s="12"/>
      <c r="CN110" s="12"/>
      <c r="CO110" s="12"/>
      <c r="CP110" s="12"/>
      <c r="CQ110" s="12"/>
      <c r="CR110" s="12"/>
      <c r="CS110" s="12"/>
      <c r="CT110" s="12"/>
      <c r="CU110" s="12"/>
      <c r="CV110" s="12"/>
      <c r="CW110" s="12"/>
      <c r="CX110" s="12"/>
      <c r="CY110" s="12"/>
      <c r="CZ110" s="12"/>
      <c r="DA110" s="12"/>
      <c r="DB110" s="12"/>
      <c r="DC110" s="12"/>
      <c r="DD110" s="12"/>
      <c r="DE110" s="12"/>
      <c r="DF110" s="12"/>
      <c r="DG110" s="12"/>
      <c r="DH110" s="12"/>
      <c r="DI110" s="12"/>
      <c r="DJ110" s="12"/>
      <c r="DK110" s="12"/>
      <c r="DL110" s="12"/>
    </row>
    <row r="111" spans="1:156" ht="11.1" customHeight="1" x14ac:dyDescent="0.25">
      <c r="F111" s="54"/>
      <c r="G111" s="625"/>
      <c r="H111" s="852"/>
      <c r="I111" s="852"/>
      <c r="J111" s="852"/>
      <c r="K111" s="852"/>
      <c r="L111" s="852"/>
      <c r="M111" s="852"/>
      <c r="N111" s="852"/>
      <c r="O111" s="852"/>
      <c r="P111" s="852"/>
      <c r="Q111" s="852"/>
      <c r="R111" s="852"/>
      <c r="S111" s="852"/>
      <c r="T111" s="852"/>
      <c r="U111" s="852"/>
      <c r="V111" s="852"/>
      <c r="W111" s="852"/>
      <c r="X111" s="852"/>
      <c r="Y111" s="852"/>
      <c r="Z111" s="852"/>
      <c r="AA111" s="627"/>
      <c r="AB111"/>
      <c r="AC111" s="625"/>
      <c r="AD111" s="852"/>
      <c r="AE111" s="852"/>
      <c r="AF111" s="852"/>
      <c r="AG111" s="852"/>
      <c r="AH111" s="852"/>
      <c r="AI111" s="852"/>
      <c r="AJ111" s="852"/>
      <c r="AK111" s="852"/>
      <c r="AL111" s="852"/>
      <c r="AM111" s="852"/>
      <c r="AN111" s="852"/>
      <c r="AO111" s="852"/>
      <c r="AP111" s="852"/>
      <c r="AQ111" s="852"/>
      <c r="AR111" s="852"/>
      <c r="AS111" s="852"/>
      <c r="AT111" s="852"/>
      <c r="AU111" s="852"/>
      <c r="AV111" s="852"/>
      <c r="AW111" s="627"/>
      <c r="AY111" s="11"/>
      <c r="BA111"/>
      <c r="BB111"/>
      <c r="BC111"/>
      <c r="BD111"/>
      <c r="BE111"/>
      <c r="BF111"/>
      <c r="BG111" s="55"/>
      <c r="BH111"/>
      <c r="BI111" s="12"/>
      <c r="BJ111" s="12"/>
      <c r="BK111" s="12"/>
      <c r="BL111" s="12"/>
      <c r="BM111" s="12"/>
      <c r="BN111" s="12"/>
      <c r="BO111" s="12"/>
      <c r="BP111" s="12"/>
      <c r="BQ111" s="12"/>
      <c r="BR111" s="12"/>
      <c r="BS111" s="12"/>
      <c r="BT111" s="12"/>
      <c r="BU111" s="12"/>
      <c r="BV111" s="12"/>
      <c r="BW111" s="12"/>
      <c r="BX111" s="12"/>
      <c r="BY111" s="12"/>
      <c r="BZ111" s="12"/>
      <c r="CA111" s="12"/>
      <c r="CB111" s="12"/>
      <c r="CC111" s="12"/>
      <c r="CD111" s="12"/>
      <c r="CE111" s="12"/>
      <c r="CF111" s="12"/>
      <c r="CG111" s="12"/>
      <c r="CH111" s="12"/>
      <c r="CI111" s="12"/>
      <c r="CJ111" s="12"/>
      <c r="CK111" s="12"/>
      <c r="CL111" s="12"/>
      <c r="CM111" s="12"/>
      <c r="CN111" s="12"/>
      <c r="CO111" s="12"/>
      <c r="CP111" s="12"/>
      <c r="CQ111" s="12"/>
      <c r="CR111" s="12"/>
      <c r="CS111" s="12"/>
      <c r="CT111" s="12"/>
      <c r="CU111" s="12"/>
      <c r="CV111" s="12"/>
      <c r="CW111" s="12"/>
      <c r="CX111" s="12"/>
      <c r="CY111" s="12"/>
      <c r="CZ111" s="12"/>
      <c r="DA111" s="12"/>
      <c r="DB111" s="12"/>
      <c r="DC111" s="12"/>
      <c r="DD111" s="12"/>
      <c r="DE111" s="12"/>
      <c r="DF111" s="12"/>
      <c r="DG111" s="12"/>
      <c r="DH111" s="12"/>
      <c r="DI111" s="12"/>
      <c r="DJ111" s="12"/>
      <c r="DK111" s="12"/>
      <c r="DL111" s="12"/>
    </row>
    <row r="112" spans="1:156" ht="11.1" customHeight="1" x14ac:dyDescent="0.25">
      <c r="F112" s="54"/>
      <c r="G112" s="625"/>
      <c r="H112" s="852"/>
      <c r="I112" s="852"/>
      <c r="J112" s="852"/>
      <c r="K112" s="852"/>
      <c r="L112" s="852"/>
      <c r="M112" s="852"/>
      <c r="N112" s="852"/>
      <c r="O112" s="852"/>
      <c r="P112" s="852"/>
      <c r="Q112" s="852"/>
      <c r="R112" s="852"/>
      <c r="S112" s="852"/>
      <c r="T112" s="852"/>
      <c r="U112" s="852"/>
      <c r="V112" s="852"/>
      <c r="W112" s="852"/>
      <c r="X112" s="852"/>
      <c r="Y112" s="852"/>
      <c r="Z112" s="852"/>
      <c r="AA112" s="627"/>
      <c r="AB112"/>
      <c r="AC112" s="625"/>
      <c r="AD112" s="852"/>
      <c r="AE112" s="852"/>
      <c r="AF112" s="852"/>
      <c r="AG112" s="852"/>
      <c r="AH112" s="852"/>
      <c r="AI112" s="852"/>
      <c r="AJ112" s="852"/>
      <c r="AK112" s="852"/>
      <c r="AL112" s="852"/>
      <c r="AM112" s="852"/>
      <c r="AN112" s="852"/>
      <c r="AO112" s="852"/>
      <c r="AP112" s="852"/>
      <c r="AQ112" s="852"/>
      <c r="AR112" s="852"/>
      <c r="AS112" s="852"/>
      <c r="AT112" s="852"/>
      <c r="AU112" s="852"/>
      <c r="AV112" s="852"/>
      <c r="AW112" s="627"/>
      <c r="AY112" s="11"/>
      <c r="BA112"/>
      <c r="BB112" s="55"/>
      <c r="BC112"/>
      <c r="BD112"/>
      <c r="BE112"/>
      <c r="BF112"/>
      <c r="BG112" s="55"/>
      <c r="BH112"/>
      <c r="BI112" s="12"/>
      <c r="BJ112" s="12"/>
      <c r="BK112" s="12"/>
      <c r="BL112" s="12"/>
      <c r="BM112" s="12"/>
      <c r="BN112" s="12"/>
      <c r="BO112" s="12"/>
      <c r="BP112" s="12"/>
      <c r="BQ112" s="12"/>
      <c r="BR112" s="12"/>
      <c r="BS112" s="12"/>
      <c r="BT112" s="12"/>
      <c r="BU112" s="12"/>
      <c r="BV112" s="12"/>
      <c r="BW112" s="12"/>
      <c r="BX112" s="12"/>
      <c r="BY112" s="12"/>
      <c r="BZ112" s="12"/>
      <c r="CA112" s="12"/>
      <c r="CB112" s="12"/>
      <c r="CC112" s="12"/>
      <c r="CD112" s="12"/>
      <c r="CE112" s="12"/>
      <c r="CF112" s="12"/>
      <c r="CG112" s="12"/>
      <c r="CH112" s="12"/>
      <c r="CI112" s="12"/>
      <c r="CJ112" s="12"/>
      <c r="CK112" s="12"/>
      <c r="CL112" s="12"/>
      <c r="CM112" s="12"/>
      <c r="CN112" s="12"/>
      <c r="CO112" s="12"/>
      <c r="CP112" s="12"/>
      <c r="CQ112" s="12"/>
      <c r="CR112" s="12"/>
      <c r="CS112" s="12"/>
      <c r="CT112" s="12"/>
      <c r="CU112" s="12"/>
      <c r="CV112" s="12"/>
      <c r="CW112" s="12"/>
      <c r="CX112" s="12"/>
      <c r="CY112" s="12"/>
      <c r="CZ112" s="12"/>
      <c r="DA112" s="12"/>
      <c r="DB112" s="12"/>
      <c r="DC112" s="12"/>
      <c r="DD112" s="12"/>
      <c r="DE112" s="12"/>
      <c r="DF112" s="12"/>
      <c r="DG112" s="12"/>
      <c r="DH112" s="12"/>
      <c r="DI112" s="12"/>
      <c r="DJ112" s="12"/>
      <c r="DK112" s="12"/>
      <c r="DL112" s="12"/>
    </row>
    <row r="113" spans="5:116" ht="11.1" customHeight="1" x14ac:dyDescent="0.25">
      <c r="F113" s="54"/>
      <c r="G113" s="625"/>
      <c r="H113" s="852"/>
      <c r="I113" s="852"/>
      <c r="J113" s="852"/>
      <c r="K113" s="852"/>
      <c r="L113" s="852"/>
      <c r="M113" s="852"/>
      <c r="N113" s="852"/>
      <c r="O113" s="852"/>
      <c r="P113" s="852"/>
      <c r="Q113" s="852"/>
      <c r="R113" s="852"/>
      <c r="S113" s="852"/>
      <c r="T113" s="852"/>
      <c r="U113" s="852"/>
      <c r="V113" s="852"/>
      <c r="W113" s="852"/>
      <c r="X113" s="852"/>
      <c r="Y113" s="852"/>
      <c r="Z113" s="852"/>
      <c r="AA113" s="627"/>
      <c r="AB113"/>
      <c r="AC113" s="625"/>
      <c r="AD113" s="852"/>
      <c r="AE113" s="852"/>
      <c r="AF113" s="852"/>
      <c r="AG113" s="852"/>
      <c r="AH113" s="852"/>
      <c r="AI113" s="852"/>
      <c r="AJ113" s="852"/>
      <c r="AK113" s="852"/>
      <c r="AL113" s="852"/>
      <c r="AM113" s="852"/>
      <c r="AN113" s="852"/>
      <c r="AO113" s="852"/>
      <c r="AP113" s="852"/>
      <c r="AQ113" s="852"/>
      <c r="AR113" s="852"/>
      <c r="AS113" s="852"/>
      <c r="AT113" s="852"/>
      <c r="AU113" s="852"/>
      <c r="AV113" s="852"/>
      <c r="AW113" s="627"/>
      <c r="AY113" s="11"/>
      <c r="BA113"/>
      <c r="BB113"/>
      <c r="BC113"/>
      <c r="BD113"/>
      <c r="BE113"/>
      <c r="BF113"/>
      <c r="BG113"/>
      <c r="BH113"/>
      <c r="BI113" s="12"/>
      <c r="BJ113" s="12"/>
      <c r="BK113" s="12"/>
      <c r="BL113" s="12"/>
      <c r="BM113" s="12"/>
      <c r="BN113" s="12"/>
      <c r="BO113" s="12"/>
      <c r="BP113" s="12"/>
      <c r="BQ113" s="12"/>
      <c r="BR113" s="12"/>
      <c r="BS113" s="12"/>
      <c r="BT113" s="12"/>
      <c r="BU113" s="12"/>
      <c r="BV113" s="12"/>
      <c r="BW113" s="12"/>
      <c r="BX113" s="12"/>
      <c r="BY113" s="12"/>
      <c r="BZ113" s="12"/>
      <c r="CA113" s="12"/>
      <c r="CB113" s="12"/>
      <c r="CC113" s="12"/>
      <c r="CD113" s="12"/>
      <c r="CE113" s="12"/>
      <c r="CF113" s="12"/>
      <c r="CG113" s="12"/>
      <c r="CH113" s="12"/>
      <c r="CI113" s="12"/>
      <c r="CJ113" s="12"/>
      <c r="CK113" s="12"/>
      <c r="CL113" s="12"/>
      <c r="CM113" s="12"/>
      <c r="CN113" s="12"/>
      <c r="CO113" s="12"/>
      <c r="CP113" s="12"/>
      <c r="CQ113" s="12"/>
      <c r="CR113" s="12"/>
      <c r="CS113" s="12"/>
      <c r="CT113" s="12"/>
      <c r="CU113" s="12"/>
      <c r="CV113" s="12"/>
      <c r="CW113" s="12"/>
      <c r="CX113" s="12"/>
      <c r="CY113" s="12"/>
      <c r="CZ113" s="12"/>
      <c r="DA113" s="12"/>
      <c r="DB113" s="12"/>
      <c r="DC113" s="12"/>
      <c r="DD113" s="12"/>
      <c r="DE113" s="12"/>
      <c r="DF113" s="12"/>
      <c r="DG113" s="12"/>
      <c r="DH113" s="12"/>
      <c r="DI113" s="12"/>
      <c r="DJ113" s="12"/>
      <c r="DK113" s="12"/>
      <c r="DL113" s="12"/>
    </row>
    <row r="114" spans="5:116" ht="11.1" customHeight="1" x14ac:dyDescent="0.25">
      <c r="F114" s="54"/>
      <c r="G114" s="625"/>
      <c r="H114" s="852"/>
      <c r="I114" s="852"/>
      <c r="J114" s="852"/>
      <c r="K114" s="852"/>
      <c r="L114" s="852"/>
      <c r="M114" s="852"/>
      <c r="N114" s="852"/>
      <c r="O114" s="852"/>
      <c r="P114" s="852"/>
      <c r="Q114" s="852"/>
      <c r="R114" s="852"/>
      <c r="S114" s="852"/>
      <c r="T114" s="852"/>
      <c r="U114" s="852"/>
      <c r="V114" s="852"/>
      <c r="W114" s="852"/>
      <c r="X114" s="852"/>
      <c r="Y114" s="852"/>
      <c r="Z114" s="852"/>
      <c r="AA114" s="627"/>
      <c r="AB114"/>
      <c r="AC114" s="625"/>
      <c r="AD114" s="852"/>
      <c r="AE114" s="852"/>
      <c r="AF114" s="852"/>
      <c r="AG114" s="852"/>
      <c r="AH114" s="852"/>
      <c r="AI114" s="852"/>
      <c r="AJ114" s="852"/>
      <c r="AK114" s="852"/>
      <c r="AL114" s="852"/>
      <c r="AM114" s="852"/>
      <c r="AN114" s="852"/>
      <c r="AO114" s="852"/>
      <c r="AP114" s="852"/>
      <c r="AQ114" s="852"/>
      <c r="AR114" s="852"/>
      <c r="AS114" s="852"/>
      <c r="AT114" s="852"/>
      <c r="AU114" s="852"/>
      <c r="AV114" s="852"/>
      <c r="AW114" s="627"/>
      <c r="AY114" s="11"/>
      <c r="BA114"/>
      <c r="BB114"/>
      <c r="BC114"/>
      <c r="BD114"/>
      <c r="BE114"/>
      <c r="BF114"/>
      <c r="BG114"/>
      <c r="BH114"/>
      <c r="BI114" s="12"/>
      <c r="BJ114" s="12"/>
      <c r="BK114" s="12"/>
      <c r="BL114" s="12"/>
      <c r="BM114" s="12"/>
      <c r="BN114" s="12"/>
      <c r="BO114" s="12"/>
      <c r="BP114" s="12"/>
      <c r="BQ114" s="12"/>
      <c r="BR114" s="12"/>
      <c r="BS114" s="12"/>
      <c r="BT114" s="12"/>
      <c r="BU114" s="12"/>
      <c r="BV114" s="12"/>
      <c r="BW114" s="12"/>
      <c r="BX114" s="12"/>
      <c r="BY114" s="12"/>
      <c r="BZ114" s="12"/>
      <c r="CA114" s="12"/>
      <c r="CB114" s="12"/>
      <c r="CC114" s="12"/>
      <c r="CD114" s="12"/>
      <c r="CE114" s="12"/>
      <c r="CF114" s="12"/>
      <c r="CG114" s="12"/>
      <c r="CH114" s="12"/>
      <c r="CI114" s="12"/>
      <c r="CJ114" s="12"/>
      <c r="CK114" s="12"/>
      <c r="CL114" s="12"/>
      <c r="CM114" s="12"/>
      <c r="CN114" s="12"/>
      <c r="CO114" s="12"/>
      <c r="CP114" s="12"/>
      <c r="CQ114" s="12"/>
      <c r="CR114" s="12"/>
      <c r="CS114" s="12"/>
      <c r="CT114" s="12"/>
      <c r="CU114" s="12"/>
      <c r="CV114" s="12"/>
      <c r="CW114" s="12"/>
      <c r="CX114" s="12"/>
      <c r="CY114" s="12"/>
      <c r="CZ114" s="12"/>
      <c r="DA114" s="12"/>
      <c r="DB114" s="12"/>
      <c r="DC114" s="12"/>
      <c r="DD114" s="12"/>
      <c r="DE114" s="12"/>
      <c r="DF114" s="12"/>
      <c r="DG114" s="12"/>
      <c r="DH114" s="12"/>
      <c r="DI114" s="12"/>
      <c r="DJ114" s="12"/>
      <c r="DK114" s="12"/>
      <c r="DL114" s="12"/>
    </row>
    <row r="115" spans="5:116" ht="11.1" customHeight="1" x14ac:dyDescent="0.25">
      <c r="F115" s="54"/>
      <c r="G115" s="625"/>
      <c r="H115" s="852"/>
      <c r="I115" s="852"/>
      <c r="J115" s="852"/>
      <c r="K115" s="852"/>
      <c r="L115" s="852"/>
      <c r="M115" s="852"/>
      <c r="N115" s="852"/>
      <c r="O115" s="852"/>
      <c r="P115" s="852"/>
      <c r="Q115" s="852"/>
      <c r="R115" s="852"/>
      <c r="S115" s="852"/>
      <c r="T115" s="852"/>
      <c r="U115" s="852"/>
      <c r="V115" s="852"/>
      <c r="W115" s="852"/>
      <c r="X115" s="852"/>
      <c r="Y115" s="852"/>
      <c r="Z115" s="852"/>
      <c r="AA115" s="627"/>
      <c r="AB115"/>
      <c r="AC115" s="625"/>
      <c r="AD115" s="852"/>
      <c r="AE115" s="852"/>
      <c r="AF115" s="852"/>
      <c r="AG115" s="852"/>
      <c r="AH115" s="852"/>
      <c r="AI115" s="852"/>
      <c r="AJ115" s="852"/>
      <c r="AK115" s="852"/>
      <c r="AL115" s="852"/>
      <c r="AM115" s="852"/>
      <c r="AN115" s="852"/>
      <c r="AO115" s="852"/>
      <c r="AP115" s="852"/>
      <c r="AQ115" s="852"/>
      <c r="AR115" s="852"/>
      <c r="AS115" s="852"/>
      <c r="AT115" s="852"/>
      <c r="AU115" s="852"/>
      <c r="AV115" s="852"/>
      <c r="AW115" s="627"/>
      <c r="AY115" s="11"/>
      <c r="BA115"/>
      <c r="BB115"/>
      <c r="BC115"/>
      <c r="BD115"/>
      <c r="BE115"/>
      <c r="BF115"/>
      <c r="BG115"/>
      <c r="BH115"/>
      <c r="BI115" s="12"/>
      <c r="BJ115" s="12"/>
      <c r="BK115" s="12"/>
      <c r="BL115" s="12"/>
      <c r="BM115" s="12"/>
      <c r="BN115" s="12"/>
      <c r="BO115" s="12"/>
      <c r="BP115" s="12"/>
      <c r="BQ115" s="12"/>
      <c r="BR115" s="12"/>
      <c r="BS115" s="12"/>
      <c r="BT115" s="12"/>
      <c r="BU115" s="12"/>
      <c r="BV115" s="12"/>
      <c r="BW115" s="12"/>
      <c r="BX115" s="12"/>
      <c r="BY115" s="12"/>
      <c r="BZ115" s="12"/>
      <c r="CA115" s="12"/>
      <c r="CB115" s="12"/>
      <c r="CC115" s="12"/>
      <c r="CD115" s="12"/>
      <c r="CE115" s="12"/>
      <c r="CF115" s="12"/>
      <c r="CG115" s="12"/>
      <c r="CH115" s="12"/>
      <c r="CI115" s="12"/>
      <c r="CJ115" s="12"/>
      <c r="CK115" s="12"/>
      <c r="CL115" s="12"/>
      <c r="CM115" s="12"/>
      <c r="CN115" s="12"/>
      <c r="CO115" s="12"/>
      <c r="CP115" s="12"/>
      <c r="CQ115" s="12"/>
      <c r="CR115" s="12"/>
      <c r="CS115" s="12"/>
      <c r="CT115" s="12"/>
      <c r="CU115" s="12"/>
      <c r="CV115" s="12"/>
      <c r="CW115" s="12"/>
      <c r="CX115" s="12"/>
      <c r="CY115" s="12"/>
      <c r="CZ115" s="12"/>
      <c r="DA115" s="12"/>
      <c r="DB115" s="12"/>
      <c r="DC115" s="12"/>
      <c r="DD115" s="12"/>
      <c r="DE115" s="12"/>
      <c r="DF115" s="12"/>
      <c r="DG115" s="12"/>
      <c r="DH115" s="12"/>
      <c r="DI115" s="12"/>
      <c r="DJ115" s="12"/>
      <c r="DK115" s="12"/>
      <c r="DL115" s="12"/>
    </row>
    <row r="116" spans="5:116" ht="11.1" customHeight="1" x14ac:dyDescent="0.25">
      <c r="F116" s="54"/>
      <c r="G116" s="625"/>
      <c r="H116" s="852"/>
      <c r="I116" s="852"/>
      <c r="J116" s="852"/>
      <c r="K116" s="852"/>
      <c r="L116" s="852"/>
      <c r="M116" s="852"/>
      <c r="N116" s="852"/>
      <c r="O116" s="852"/>
      <c r="P116" s="852"/>
      <c r="Q116" s="852"/>
      <c r="R116" s="852"/>
      <c r="S116" s="852"/>
      <c r="T116" s="852"/>
      <c r="U116" s="852"/>
      <c r="V116" s="852"/>
      <c r="W116" s="852"/>
      <c r="X116" s="852"/>
      <c r="Y116" s="852"/>
      <c r="Z116" s="852"/>
      <c r="AA116" s="627"/>
      <c r="AB116"/>
      <c r="AC116" s="625"/>
      <c r="AD116" s="852"/>
      <c r="AE116" s="852"/>
      <c r="AF116" s="852"/>
      <c r="AG116" s="852"/>
      <c r="AH116" s="852"/>
      <c r="AI116" s="852"/>
      <c r="AJ116" s="852"/>
      <c r="AK116" s="852"/>
      <c r="AL116" s="852"/>
      <c r="AM116" s="852"/>
      <c r="AN116" s="852"/>
      <c r="AO116" s="852"/>
      <c r="AP116" s="852"/>
      <c r="AQ116" s="852"/>
      <c r="AR116" s="852"/>
      <c r="AS116" s="852"/>
      <c r="AT116" s="852"/>
      <c r="AU116" s="852"/>
      <c r="AV116" s="852"/>
      <c r="AW116" s="627"/>
      <c r="AY116" s="11"/>
      <c r="BA116"/>
      <c r="BB116"/>
      <c r="BC116"/>
      <c r="BD116"/>
      <c r="BE116"/>
      <c r="BF116"/>
      <c r="BG116"/>
      <c r="BH116"/>
      <c r="BI116" s="12"/>
      <c r="BJ116" s="12"/>
      <c r="BK116" s="12"/>
      <c r="BL116" s="12"/>
      <c r="BM116" s="12"/>
      <c r="BN116" s="12"/>
      <c r="BO116" s="12"/>
      <c r="BP116" s="12"/>
      <c r="BQ116" s="12"/>
      <c r="BR116" s="12"/>
      <c r="BS116" s="12"/>
      <c r="BT116" s="12"/>
      <c r="BU116" s="12"/>
      <c r="BV116" s="12"/>
      <c r="BW116" s="12"/>
      <c r="BX116" s="12"/>
      <c r="BY116" s="12"/>
      <c r="BZ116" s="12"/>
      <c r="CA116" s="12"/>
      <c r="CB116" s="12"/>
      <c r="CC116" s="12"/>
      <c r="CD116" s="12"/>
      <c r="CE116" s="12"/>
      <c r="CF116" s="12"/>
      <c r="CG116" s="12"/>
      <c r="CH116" s="12"/>
      <c r="CI116" s="12"/>
      <c r="CJ116" s="12"/>
      <c r="CK116" s="12"/>
      <c r="CL116" s="12"/>
      <c r="CM116" s="12"/>
      <c r="CN116" s="12"/>
      <c r="CO116" s="12"/>
      <c r="CP116" s="12"/>
      <c r="CQ116" s="12"/>
      <c r="CR116" s="12"/>
      <c r="CS116" s="12"/>
      <c r="CT116" s="12"/>
      <c r="CU116" s="12"/>
      <c r="CV116" s="12"/>
      <c r="CW116" s="12"/>
      <c r="CX116" s="12"/>
      <c r="CY116" s="12"/>
      <c r="CZ116" s="12"/>
      <c r="DA116" s="12"/>
      <c r="DB116" s="12"/>
      <c r="DC116" s="12"/>
      <c r="DD116" s="12"/>
      <c r="DE116" s="12"/>
      <c r="DF116" s="12"/>
      <c r="DG116" s="12"/>
      <c r="DH116" s="12"/>
      <c r="DI116" s="12"/>
      <c r="DJ116" s="12"/>
      <c r="DK116" s="12"/>
      <c r="DL116" s="12"/>
    </row>
    <row r="117" spans="5:116" ht="11.1" customHeight="1" x14ac:dyDescent="0.25">
      <c r="F117" s="54"/>
      <c r="G117" s="625"/>
      <c r="H117" s="852"/>
      <c r="I117" s="852"/>
      <c r="J117" s="852"/>
      <c r="K117" s="852"/>
      <c r="L117" s="852"/>
      <c r="M117" s="852"/>
      <c r="N117" s="852"/>
      <c r="O117" s="852"/>
      <c r="P117" s="852"/>
      <c r="Q117" s="852"/>
      <c r="R117" s="852"/>
      <c r="S117" s="852"/>
      <c r="T117" s="852"/>
      <c r="U117" s="852"/>
      <c r="V117" s="852"/>
      <c r="W117" s="852"/>
      <c r="X117" s="852"/>
      <c r="Y117" s="852"/>
      <c r="Z117" s="852"/>
      <c r="AA117" s="627"/>
      <c r="AB117"/>
      <c r="AC117" s="625"/>
      <c r="AD117" s="852"/>
      <c r="AE117" s="852"/>
      <c r="AF117" s="852"/>
      <c r="AG117" s="852"/>
      <c r="AH117" s="852"/>
      <c r="AI117" s="852"/>
      <c r="AJ117" s="852"/>
      <c r="AK117" s="852"/>
      <c r="AL117" s="852"/>
      <c r="AM117" s="852"/>
      <c r="AN117" s="852"/>
      <c r="AO117" s="852"/>
      <c r="AP117" s="852"/>
      <c r="AQ117" s="852"/>
      <c r="AR117" s="852"/>
      <c r="AS117" s="852"/>
      <c r="AT117" s="852"/>
      <c r="AU117" s="852"/>
      <c r="AV117" s="852"/>
      <c r="AW117" s="627"/>
      <c r="AY117" s="11"/>
      <c r="BA117"/>
      <c r="BB117"/>
      <c r="BC117"/>
      <c r="BD117"/>
      <c r="BE117"/>
      <c r="BF117"/>
      <c r="BG117"/>
      <c r="BH117"/>
      <c r="BI117" s="12"/>
      <c r="BJ117" s="12"/>
      <c r="BK117" s="12"/>
      <c r="BL117" s="12"/>
      <c r="BM117" s="12"/>
      <c r="BN117" s="12"/>
      <c r="BO117" s="12"/>
      <c r="BP117" s="12"/>
      <c r="BQ117" s="12"/>
      <c r="BR117" s="12"/>
      <c r="BS117" s="12"/>
      <c r="BT117" s="12"/>
      <c r="BU117" s="12"/>
      <c r="BV117" s="12"/>
      <c r="BW117" s="12"/>
      <c r="BX117" s="12"/>
      <c r="BY117" s="12"/>
      <c r="BZ117" s="12"/>
      <c r="CA117" s="12"/>
      <c r="CB117" s="12"/>
      <c r="CC117" s="12"/>
      <c r="CD117" s="12"/>
      <c r="CE117" s="12"/>
      <c r="CF117" s="12"/>
      <c r="CG117" s="12"/>
      <c r="CH117" s="12"/>
      <c r="CI117" s="12"/>
      <c r="CJ117" s="12"/>
      <c r="CK117" s="12"/>
      <c r="CL117" s="12"/>
      <c r="CM117" s="12"/>
      <c r="CN117" s="12"/>
      <c r="CO117" s="12"/>
      <c r="CP117" s="12"/>
      <c r="CQ117" s="12"/>
      <c r="CR117" s="12"/>
      <c r="CS117" s="12"/>
      <c r="CT117" s="12"/>
      <c r="CU117" s="12"/>
      <c r="CV117" s="12"/>
      <c r="CW117" s="12"/>
      <c r="CX117" s="12"/>
      <c r="CY117" s="12"/>
      <c r="CZ117" s="12"/>
      <c r="DA117" s="12"/>
      <c r="DB117" s="12"/>
      <c r="DC117" s="12"/>
      <c r="DD117" s="12"/>
      <c r="DE117" s="12"/>
      <c r="DF117" s="12"/>
      <c r="DG117" s="12"/>
      <c r="DH117" s="12"/>
      <c r="DI117" s="12"/>
      <c r="DJ117" s="12"/>
      <c r="DK117" s="12"/>
      <c r="DL117" s="12"/>
    </row>
    <row r="118" spans="5:116" ht="11.1" customHeight="1" x14ac:dyDescent="0.25">
      <c r="F118" s="54"/>
      <c r="G118" s="625"/>
      <c r="H118" s="852"/>
      <c r="I118" s="852"/>
      <c r="J118" s="852"/>
      <c r="K118" s="852"/>
      <c r="L118" s="852"/>
      <c r="M118" s="852"/>
      <c r="N118" s="852"/>
      <c r="O118" s="852"/>
      <c r="P118" s="852"/>
      <c r="Q118" s="852"/>
      <c r="R118" s="852"/>
      <c r="S118" s="852"/>
      <c r="T118" s="852"/>
      <c r="U118" s="852"/>
      <c r="V118" s="852"/>
      <c r="W118" s="852"/>
      <c r="X118" s="852"/>
      <c r="Y118" s="852"/>
      <c r="Z118" s="852"/>
      <c r="AA118" s="627"/>
      <c r="AB118"/>
      <c r="AC118" s="625"/>
      <c r="AD118" s="852"/>
      <c r="AE118" s="852"/>
      <c r="AF118" s="852"/>
      <c r="AG118" s="852"/>
      <c r="AH118" s="852"/>
      <c r="AI118" s="852"/>
      <c r="AJ118" s="852"/>
      <c r="AK118" s="852"/>
      <c r="AL118" s="852"/>
      <c r="AM118" s="852"/>
      <c r="AN118" s="852"/>
      <c r="AO118" s="852"/>
      <c r="AP118" s="852"/>
      <c r="AQ118" s="852"/>
      <c r="AR118" s="852"/>
      <c r="AS118" s="852"/>
      <c r="AT118" s="852"/>
      <c r="AU118" s="852"/>
      <c r="AV118" s="852"/>
      <c r="AW118" s="627"/>
      <c r="AY118" s="11"/>
      <c r="BA118"/>
      <c r="BB118"/>
      <c r="BC118"/>
      <c r="BD118"/>
      <c r="BE118"/>
      <c r="BF118"/>
      <c r="BG118"/>
      <c r="BH118"/>
      <c r="BI118" s="12"/>
      <c r="BJ118" s="12"/>
      <c r="BK118" s="12"/>
      <c r="BL118" s="12"/>
      <c r="BM118" s="12"/>
      <c r="BN118" s="12"/>
      <c r="BO118" s="12"/>
      <c r="BP118" s="12"/>
      <c r="BQ118" s="12"/>
      <c r="BR118" s="12"/>
      <c r="BS118" s="12"/>
      <c r="BT118" s="12"/>
      <c r="BU118" s="12"/>
      <c r="BV118" s="12"/>
      <c r="BW118" s="12"/>
      <c r="BX118" s="12"/>
      <c r="BY118" s="12"/>
      <c r="BZ118" s="12"/>
      <c r="CA118" s="12"/>
      <c r="CB118" s="12"/>
      <c r="CC118" s="12"/>
      <c r="CD118" s="12"/>
      <c r="CE118" s="12"/>
      <c r="CF118" s="12"/>
      <c r="CG118" s="12"/>
      <c r="CH118" s="12"/>
      <c r="CI118" s="12"/>
      <c r="CJ118" s="12"/>
      <c r="CK118" s="12"/>
      <c r="CL118" s="12"/>
      <c r="CM118" s="12"/>
      <c r="CN118" s="12"/>
      <c r="CO118" s="12"/>
      <c r="CP118" s="12"/>
      <c r="CQ118" s="12"/>
      <c r="CR118" s="12"/>
      <c r="CS118" s="12"/>
      <c r="CT118" s="12"/>
      <c r="CU118" s="12"/>
      <c r="CV118" s="12"/>
      <c r="CW118" s="12"/>
      <c r="CX118" s="12"/>
      <c r="CY118" s="12"/>
      <c r="CZ118" s="12"/>
      <c r="DA118" s="12"/>
      <c r="DB118" s="12"/>
      <c r="DC118" s="12"/>
      <c r="DD118" s="12"/>
      <c r="DE118" s="12"/>
      <c r="DF118" s="12"/>
      <c r="DG118" s="12"/>
      <c r="DH118" s="12"/>
      <c r="DI118" s="12"/>
      <c r="DJ118" s="12"/>
      <c r="DK118" s="12"/>
      <c r="DL118" s="12"/>
    </row>
    <row r="119" spans="5:116" ht="11.1" customHeight="1" x14ac:dyDescent="0.25">
      <c r="F119" s="54"/>
      <c r="G119" s="625"/>
      <c r="H119" s="852"/>
      <c r="I119" s="852"/>
      <c r="J119" s="852"/>
      <c r="K119" s="852"/>
      <c r="L119" s="852"/>
      <c r="M119" s="852"/>
      <c r="N119" s="852"/>
      <c r="O119" s="852"/>
      <c r="P119" s="852"/>
      <c r="Q119" s="852"/>
      <c r="R119" s="852"/>
      <c r="S119" s="852"/>
      <c r="T119" s="852"/>
      <c r="U119" s="852"/>
      <c r="V119" s="852"/>
      <c r="W119" s="852"/>
      <c r="X119" s="852"/>
      <c r="Y119" s="852"/>
      <c r="Z119" s="852"/>
      <c r="AA119" s="627"/>
      <c r="AB119"/>
      <c r="AC119" s="625"/>
      <c r="AD119" s="852"/>
      <c r="AE119" s="852"/>
      <c r="AF119" s="852"/>
      <c r="AG119" s="852"/>
      <c r="AH119" s="852"/>
      <c r="AI119" s="852"/>
      <c r="AJ119" s="852"/>
      <c r="AK119" s="852"/>
      <c r="AL119" s="852"/>
      <c r="AM119" s="852"/>
      <c r="AN119" s="852"/>
      <c r="AO119" s="852"/>
      <c r="AP119" s="852"/>
      <c r="AQ119" s="852"/>
      <c r="AR119" s="852"/>
      <c r="AS119" s="852"/>
      <c r="AT119" s="852"/>
      <c r="AU119" s="852"/>
      <c r="AV119" s="852"/>
      <c r="AW119" s="627"/>
      <c r="AY119" s="11"/>
      <c r="BA119"/>
      <c r="BB119"/>
      <c r="BC119"/>
      <c r="BD119"/>
      <c r="BE119"/>
      <c r="BF119"/>
      <c r="BG119"/>
      <c r="BH119"/>
      <c r="BI119" s="12"/>
      <c r="BJ119" s="12"/>
      <c r="BK119" s="12"/>
      <c r="BL119" s="12"/>
      <c r="BM119" s="12"/>
      <c r="BN119" s="12"/>
      <c r="BO119" s="12"/>
      <c r="BP119" s="12"/>
      <c r="BQ119" s="12"/>
      <c r="BR119" s="12"/>
      <c r="BS119" s="12"/>
      <c r="BT119" s="12"/>
      <c r="BU119" s="12"/>
      <c r="BV119" s="12"/>
      <c r="BW119" s="12"/>
      <c r="BX119" s="12"/>
      <c r="BY119" s="12"/>
      <c r="BZ119" s="12"/>
      <c r="CA119" s="12"/>
      <c r="CB119" s="12"/>
      <c r="CC119" s="12"/>
      <c r="CD119" s="12"/>
      <c r="CE119" s="12"/>
      <c r="CF119" s="12"/>
      <c r="CG119" s="12"/>
      <c r="CH119" s="12"/>
      <c r="CI119" s="12"/>
      <c r="CJ119" s="12"/>
      <c r="CK119" s="12"/>
      <c r="CL119" s="12"/>
      <c r="CM119" s="12"/>
      <c r="CN119" s="12"/>
      <c r="CO119" s="12"/>
      <c r="CP119" s="12"/>
      <c r="CQ119" s="12"/>
      <c r="CR119" s="12"/>
      <c r="CS119" s="12"/>
      <c r="CT119" s="12"/>
      <c r="CU119" s="12"/>
      <c r="CV119" s="12"/>
      <c r="CW119" s="12"/>
      <c r="CX119" s="12"/>
      <c r="CY119" s="12"/>
      <c r="CZ119" s="12"/>
      <c r="DA119" s="12"/>
      <c r="DB119" s="12"/>
      <c r="DC119" s="12"/>
      <c r="DD119" s="12"/>
      <c r="DE119" s="12"/>
      <c r="DF119" s="12"/>
      <c r="DG119" s="12"/>
      <c r="DH119" s="12"/>
      <c r="DI119" s="12"/>
      <c r="DJ119" s="12"/>
      <c r="DK119" s="12"/>
      <c r="DL119" s="12"/>
    </row>
    <row r="120" spans="5:116" ht="11.1" customHeight="1" x14ac:dyDescent="0.25">
      <c r="F120" s="54"/>
      <c r="G120" s="625"/>
      <c r="H120" s="852"/>
      <c r="I120" s="852"/>
      <c r="J120" s="852"/>
      <c r="K120" s="852"/>
      <c r="L120" s="852"/>
      <c r="M120" s="852"/>
      <c r="N120" s="852"/>
      <c r="O120" s="852"/>
      <c r="P120" s="852"/>
      <c r="Q120" s="852"/>
      <c r="R120" s="852"/>
      <c r="S120" s="852"/>
      <c r="T120" s="852"/>
      <c r="U120" s="852"/>
      <c r="V120" s="852"/>
      <c r="W120" s="852"/>
      <c r="X120" s="852"/>
      <c r="Y120" s="852"/>
      <c r="Z120" s="852"/>
      <c r="AA120" s="627"/>
      <c r="AB120"/>
      <c r="AC120" s="625"/>
      <c r="AD120" s="852"/>
      <c r="AE120" s="852"/>
      <c r="AF120" s="852"/>
      <c r="AG120" s="852"/>
      <c r="AH120" s="852"/>
      <c r="AI120" s="852"/>
      <c r="AJ120" s="852"/>
      <c r="AK120" s="852"/>
      <c r="AL120" s="852"/>
      <c r="AM120" s="852"/>
      <c r="AN120" s="852"/>
      <c r="AO120" s="852"/>
      <c r="AP120" s="852"/>
      <c r="AQ120" s="852"/>
      <c r="AR120" s="852"/>
      <c r="AS120" s="852"/>
      <c r="AT120" s="852"/>
      <c r="AU120" s="852"/>
      <c r="AV120" s="852"/>
      <c r="AW120" s="627"/>
      <c r="AY120" s="11"/>
      <c r="BA120"/>
      <c r="BB120"/>
      <c r="BC120"/>
      <c r="BD120"/>
      <c r="BE120"/>
      <c r="BF120"/>
      <c r="BG120"/>
      <c r="BH120"/>
      <c r="BI120" s="12"/>
      <c r="BJ120" s="12"/>
      <c r="BK120" s="12"/>
      <c r="BL120" s="12"/>
      <c r="BM120" s="12"/>
      <c r="BN120" s="12"/>
      <c r="BO120" s="12"/>
      <c r="BP120" s="12"/>
      <c r="BQ120" s="12"/>
      <c r="BR120" s="12"/>
      <c r="BS120" s="12"/>
      <c r="BT120" s="12"/>
      <c r="BU120" s="12"/>
      <c r="BV120" s="12"/>
      <c r="BW120" s="12"/>
      <c r="BX120" s="12"/>
      <c r="BY120" s="12"/>
      <c r="BZ120" s="12"/>
      <c r="CA120" s="12"/>
      <c r="CB120" s="12"/>
      <c r="CC120" s="12"/>
      <c r="CD120" s="12"/>
      <c r="CE120" s="12"/>
      <c r="CF120" s="12"/>
      <c r="CG120" s="12"/>
      <c r="CH120" s="12"/>
      <c r="CI120" s="12"/>
      <c r="CJ120" s="12"/>
      <c r="CK120" s="12"/>
      <c r="CL120" s="12"/>
      <c r="CM120" s="12"/>
      <c r="CN120" s="12"/>
      <c r="CO120" s="12"/>
      <c r="CP120" s="12"/>
      <c r="CQ120" s="12"/>
      <c r="CR120" s="12"/>
      <c r="CS120" s="12"/>
      <c r="CT120" s="12"/>
      <c r="CU120" s="12"/>
      <c r="CV120" s="12"/>
      <c r="CW120" s="12"/>
      <c r="CX120" s="12"/>
      <c r="CY120" s="12"/>
      <c r="CZ120" s="12"/>
      <c r="DA120" s="12"/>
      <c r="DB120" s="12"/>
      <c r="DC120" s="12"/>
      <c r="DD120" s="12"/>
      <c r="DE120" s="12"/>
      <c r="DF120" s="12"/>
      <c r="DG120" s="12"/>
      <c r="DH120" s="12"/>
      <c r="DI120" s="12"/>
      <c r="DJ120" s="12"/>
      <c r="DK120" s="12"/>
      <c r="DL120" s="12"/>
    </row>
    <row r="121" spans="5:116" ht="11.1" customHeight="1" x14ac:dyDescent="0.25">
      <c r="F121" s="54"/>
      <c r="G121" s="625"/>
      <c r="H121" s="852"/>
      <c r="I121" s="852"/>
      <c r="J121" s="852"/>
      <c r="K121" s="852"/>
      <c r="L121" s="852"/>
      <c r="M121" s="852"/>
      <c r="N121" s="852"/>
      <c r="O121" s="852"/>
      <c r="P121" s="852"/>
      <c r="Q121" s="852"/>
      <c r="R121" s="852"/>
      <c r="S121" s="852"/>
      <c r="T121" s="852"/>
      <c r="U121" s="852"/>
      <c r="V121" s="852"/>
      <c r="W121" s="852"/>
      <c r="X121" s="852"/>
      <c r="Y121" s="852"/>
      <c r="Z121" s="852"/>
      <c r="AA121" s="627"/>
      <c r="AB121"/>
      <c r="AC121" s="625"/>
      <c r="AD121" s="852"/>
      <c r="AE121" s="852"/>
      <c r="AF121" s="852"/>
      <c r="AG121" s="852"/>
      <c r="AH121" s="852"/>
      <c r="AI121" s="852"/>
      <c r="AJ121" s="852"/>
      <c r="AK121" s="852"/>
      <c r="AL121" s="852"/>
      <c r="AM121" s="852"/>
      <c r="AN121" s="852"/>
      <c r="AO121" s="852"/>
      <c r="AP121" s="852"/>
      <c r="AQ121" s="852"/>
      <c r="AR121" s="852"/>
      <c r="AS121" s="852"/>
      <c r="AT121" s="852"/>
      <c r="AU121" s="852"/>
      <c r="AV121" s="852"/>
      <c r="AW121" s="627"/>
      <c r="AY121" s="11"/>
      <c r="BA121"/>
      <c r="BB121"/>
      <c r="BC121"/>
      <c r="BD121"/>
      <c r="BE121"/>
      <c r="BF121"/>
      <c r="BG121"/>
      <c r="BH121"/>
      <c r="BI121" s="12"/>
      <c r="BJ121" s="12"/>
      <c r="BK121" s="12"/>
      <c r="BL121" s="12"/>
      <c r="BM121" s="12"/>
      <c r="BN121" s="12"/>
      <c r="BO121" s="12"/>
      <c r="BP121" s="12"/>
      <c r="BQ121" s="12"/>
      <c r="BR121" s="12"/>
      <c r="BS121" s="12"/>
      <c r="BT121" s="12"/>
      <c r="BU121" s="12"/>
      <c r="BV121" s="12"/>
      <c r="BW121" s="12"/>
      <c r="BX121" s="12"/>
      <c r="BY121" s="12"/>
      <c r="BZ121" s="12"/>
      <c r="CA121" s="12"/>
      <c r="CB121" s="12"/>
      <c r="CC121" s="12"/>
      <c r="CD121" s="12"/>
      <c r="CE121" s="12"/>
      <c r="CF121" s="12"/>
      <c r="CG121" s="12"/>
      <c r="CH121" s="12"/>
      <c r="CI121" s="12"/>
      <c r="CJ121" s="12"/>
      <c r="CK121" s="12"/>
      <c r="CL121" s="12"/>
      <c r="CM121" s="12"/>
      <c r="CN121" s="12"/>
      <c r="CO121" s="12"/>
      <c r="CP121" s="12"/>
      <c r="CQ121" s="12"/>
      <c r="CR121" s="12"/>
      <c r="CS121" s="12"/>
      <c r="CT121" s="12"/>
      <c r="CU121" s="12"/>
      <c r="CV121" s="12"/>
      <c r="CW121" s="12"/>
      <c r="CX121" s="12"/>
      <c r="CY121" s="12"/>
      <c r="CZ121" s="12"/>
      <c r="DA121" s="12"/>
      <c r="DB121" s="12"/>
      <c r="DC121" s="12"/>
      <c r="DD121" s="12"/>
      <c r="DE121" s="12"/>
      <c r="DF121" s="12"/>
      <c r="DG121" s="12"/>
      <c r="DH121" s="12"/>
      <c r="DI121" s="12"/>
      <c r="DJ121" s="12"/>
      <c r="DK121" s="12"/>
      <c r="DL121" s="12"/>
    </row>
    <row r="122" spans="5:116" ht="11.1" customHeight="1" x14ac:dyDescent="0.25">
      <c r="F122" s="54"/>
      <c r="G122" s="628"/>
      <c r="H122" s="629"/>
      <c r="I122" s="629"/>
      <c r="J122" s="629"/>
      <c r="K122" s="629"/>
      <c r="L122" s="629"/>
      <c r="M122" s="629"/>
      <c r="N122" s="629"/>
      <c r="O122" s="629"/>
      <c r="P122" s="629"/>
      <c r="Q122" s="629"/>
      <c r="R122" s="629"/>
      <c r="S122" s="629"/>
      <c r="T122" s="629"/>
      <c r="U122" s="629"/>
      <c r="V122" s="629"/>
      <c r="W122" s="629"/>
      <c r="X122" s="629"/>
      <c r="Y122" s="629"/>
      <c r="Z122" s="629"/>
      <c r="AA122" s="630"/>
      <c r="AB122"/>
      <c r="AC122" s="628"/>
      <c r="AD122" s="629"/>
      <c r="AE122" s="629"/>
      <c r="AF122" s="629"/>
      <c r="AG122" s="629"/>
      <c r="AH122" s="629"/>
      <c r="AI122" s="629"/>
      <c r="AJ122" s="629"/>
      <c r="AK122" s="629"/>
      <c r="AL122" s="629"/>
      <c r="AM122" s="629"/>
      <c r="AN122" s="629"/>
      <c r="AO122" s="629"/>
      <c r="AP122" s="629"/>
      <c r="AQ122" s="629"/>
      <c r="AR122" s="629"/>
      <c r="AS122" s="629"/>
      <c r="AT122" s="629"/>
      <c r="AU122" s="629"/>
      <c r="AV122" s="629"/>
      <c r="AW122" s="630"/>
      <c r="AY122" s="11"/>
      <c r="BA122"/>
      <c r="BB122"/>
      <c r="BC122"/>
      <c r="BD122"/>
      <c r="BE122"/>
      <c r="BF122"/>
      <c r="BG122"/>
      <c r="BH122"/>
      <c r="BI122" s="12"/>
      <c r="BJ122" s="12"/>
      <c r="BK122" s="12"/>
      <c r="BL122" s="12"/>
      <c r="BM122" s="12"/>
      <c r="BN122" s="12"/>
      <c r="BO122" s="12"/>
      <c r="BP122" s="12"/>
      <c r="BQ122" s="12"/>
      <c r="BR122" s="12"/>
      <c r="BS122" s="12"/>
      <c r="BT122" s="12"/>
      <c r="BU122" s="12"/>
      <c r="BV122" s="12"/>
      <c r="BW122" s="12"/>
      <c r="BX122" s="12"/>
      <c r="BY122" s="12"/>
      <c r="BZ122" s="12"/>
      <c r="CA122" s="12"/>
      <c r="CB122" s="12"/>
      <c r="CC122" s="12"/>
      <c r="CD122" s="12"/>
      <c r="CE122" s="12"/>
      <c r="CF122" s="12"/>
      <c r="CG122" s="12"/>
      <c r="CH122" s="12"/>
      <c r="CI122" s="12"/>
      <c r="CJ122" s="12"/>
      <c r="CK122" s="12"/>
      <c r="CL122" s="12"/>
      <c r="CM122" s="12"/>
      <c r="CN122" s="12"/>
      <c r="CO122" s="12"/>
      <c r="CP122" s="12"/>
      <c r="CQ122" s="12"/>
      <c r="CR122" s="12"/>
      <c r="CS122" s="12"/>
      <c r="CT122" s="12"/>
      <c r="CU122" s="12"/>
      <c r="CV122" s="12"/>
      <c r="CW122" s="12"/>
      <c r="CX122" s="12"/>
      <c r="CY122" s="12"/>
      <c r="CZ122" s="12"/>
      <c r="DA122" s="12"/>
      <c r="DB122" s="12"/>
      <c r="DC122" s="12"/>
      <c r="DD122" s="12"/>
      <c r="DE122" s="12"/>
      <c r="DF122" s="12"/>
      <c r="DG122" s="12"/>
      <c r="DH122" s="12"/>
      <c r="DI122" s="12"/>
      <c r="DJ122" s="12"/>
      <c r="DK122" s="12"/>
      <c r="DL122" s="12"/>
    </row>
    <row r="123" spans="5:116" ht="11.1" hidden="1" customHeight="1" x14ac:dyDescent="0.25">
      <c r="F123" s="54"/>
      <c r="G123" s="193"/>
      <c r="H123" s="193"/>
      <c r="I123" s="193"/>
      <c r="J123" s="193"/>
      <c r="K123" s="193"/>
      <c r="L123" s="193"/>
      <c r="M123" s="193"/>
      <c r="N123" s="193"/>
      <c r="O123" s="193"/>
      <c r="P123" s="193"/>
      <c r="Q123" s="193"/>
      <c r="R123" s="193"/>
      <c r="S123" s="193"/>
      <c r="T123" s="193"/>
      <c r="U123" s="193"/>
      <c r="V123" s="193"/>
      <c r="W123" s="193"/>
      <c r="X123" s="193"/>
      <c r="Y123" s="193"/>
      <c r="Z123" s="193"/>
      <c r="AA123" s="193"/>
      <c r="AB123"/>
      <c r="AC123" s="193"/>
      <c r="AD123" s="193"/>
      <c r="AE123" s="193"/>
      <c r="AF123" s="193"/>
      <c r="AG123" s="193"/>
      <c r="AH123" s="193"/>
      <c r="AI123" s="193"/>
      <c r="AJ123" s="193"/>
      <c r="AK123" s="193"/>
      <c r="AL123" s="193"/>
      <c r="AM123" s="193"/>
      <c r="AN123" s="193"/>
      <c r="AO123" s="193"/>
      <c r="AP123" s="193"/>
      <c r="AQ123" s="193"/>
      <c r="AR123" s="193"/>
      <c r="AS123" s="193"/>
      <c r="AT123" s="193"/>
      <c r="AU123" s="193"/>
      <c r="AV123" s="193"/>
      <c r="AW123" s="193"/>
      <c r="AY123" s="11"/>
      <c r="BA123"/>
      <c r="BB123"/>
      <c r="BC123"/>
      <c r="BD123"/>
      <c r="BE123"/>
      <c r="BF123"/>
      <c r="BG123"/>
      <c r="BH123"/>
      <c r="BI123" s="12"/>
      <c r="BJ123" s="12"/>
      <c r="BK123" s="12"/>
      <c r="BL123" s="12"/>
      <c r="BM123" s="12"/>
      <c r="BN123" s="12"/>
      <c r="BO123" s="12"/>
      <c r="BP123" s="12"/>
      <c r="BQ123" s="12"/>
      <c r="BR123" s="12"/>
      <c r="BS123" s="12"/>
      <c r="BT123" s="12"/>
      <c r="BU123" s="12"/>
      <c r="BV123" s="12"/>
      <c r="BW123" s="12"/>
      <c r="BX123" s="12"/>
      <c r="BY123" s="12"/>
      <c r="BZ123" s="12"/>
      <c r="CA123" s="12"/>
      <c r="CB123" s="12"/>
      <c r="CC123" s="12"/>
      <c r="CD123" s="12"/>
      <c r="CE123" s="12"/>
      <c r="CF123" s="12"/>
      <c r="CG123" s="12"/>
      <c r="CH123" s="12"/>
      <c r="CI123" s="12"/>
      <c r="CJ123" s="12"/>
      <c r="CK123" s="12"/>
      <c r="CL123" s="12"/>
      <c r="CM123" s="12"/>
      <c r="CN123" s="12"/>
      <c r="CO123" s="12"/>
      <c r="CP123" s="12"/>
      <c r="CQ123" s="12"/>
      <c r="CR123" s="12"/>
      <c r="CS123" s="12"/>
      <c r="CT123" s="12"/>
      <c r="CU123" s="12"/>
      <c r="CV123" s="12"/>
      <c r="CW123" s="12"/>
      <c r="CX123" s="12"/>
      <c r="CY123" s="12"/>
      <c r="CZ123" s="12"/>
      <c r="DA123" s="12"/>
      <c r="DB123" s="12"/>
      <c r="DC123" s="12"/>
      <c r="DD123" s="12"/>
      <c r="DE123" s="12"/>
      <c r="DF123" s="12"/>
      <c r="DG123" s="12"/>
      <c r="DH123" s="12"/>
      <c r="DI123" s="12"/>
      <c r="DJ123" s="12"/>
      <c r="DK123" s="12"/>
      <c r="DL123" s="12"/>
    </row>
    <row r="124" spans="5:116" ht="11.1" hidden="1" customHeight="1" thickBot="1" x14ac:dyDescent="0.3">
      <c r="F124" s="47"/>
      <c r="G124" s="48" t="s">
        <v>65</v>
      </c>
      <c r="H124" s="47"/>
      <c r="I124" s="47"/>
      <c r="J124" s="47"/>
      <c r="K124" s="47"/>
      <c r="L124" s="47"/>
      <c r="M124" s="47"/>
      <c r="N124" s="47"/>
      <c r="O124" s="47"/>
      <c r="P124" s="47"/>
      <c r="Q124" s="47"/>
      <c r="R124" s="47"/>
      <c r="S124" s="47"/>
      <c r="T124" s="47"/>
      <c r="U124" s="47"/>
      <c r="V124" s="47"/>
      <c r="W124" s="47"/>
      <c r="X124" s="47"/>
      <c r="Y124" s="47"/>
      <c r="Z124" s="47"/>
      <c r="AA124" s="47"/>
      <c r="AB124" s="47"/>
      <c r="AC124" s="47"/>
      <c r="AD124" s="47"/>
      <c r="AE124" s="47"/>
      <c r="AF124" s="47"/>
      <c r="AG124" s="47"/>
      <c r="AH124" s="47"/>
      <c r="AI124" s="47"/>
      <c r="AJ124" s="47"/>
      <c r="AK124" s="47"/>
      <c r="AL124" s="47"/>
      <c r="AM124" s="47"/>
      <c r="AN124" s="47"/>
      <c r="AO124" s="47"/>
      <c r="AP124" s="47"/>
      <c r="AQ124" s="47"/>
      <c r="AR124" s="47"/>
      <c r="AS124" s="47"/>
      <c r="AT124" s="47"/>
      <c r="AU124" s="47"/>
      <c r="AV124" s="47"/>
      <c r="AW124" s="47"/>
      <c r="AX124" s="49"/>
      <c r="AZ124" s="12"/>
      <c r="BA124"/>
      <c r="BB124"/>
      <c r="BC124"/>
      <c r="BD124"/>
      <c r="BE124"/>
      <c r="BF124"/>
      <c r="BG124" s="56"/>
      <c r="BH124"/>
      <c r="BI124" s="12"/>
      <c r="BJ124" s="12"/>
      <c r="BK124" s="12"/>
      <c r="BL124" s="12"/>
      <c r="BM124" s="12"/>
      <c r="BN124" s="12"/>
      <c r="BO124" s="12"/>
      <c r="BP124" s="12"/>
      <c r="BQ124" s="12"/>
      <c r="BR124" s="12"/>
      <c r="BS124" s="12"/>
      <c r="BT124" s="12"/>
      <c r="BU124" s="12"/>
      <c r="BV124" s="12"/>
      <c r="BW124" s="12"/>
      <c r="BX124" s="12"/>
      <c r="BY124" s="12"/>
      <c r="BZ124" s="12"/>
      <c r="CA124" s="12"/>
      <c r="CB124" s="12"/>
      <c r="CC124" s="12"/>
      <c r="CD124" s="12"/>
      <c r="CE124" s="12"/>
      <c r="CF124" s="12"/>
      <c r="CG124" s="12"/>
      <c r="CH124" s="12"/>
      <c r="CI124" s="12"/>
      <c r="CJ124" s="12"/>
      <c r="CK124" s="12"/>
      <c r="CL124" s="12"/>
      <c r="CM124" s="12"/>
      <c r="CN124" s="12"/>
      <c r="CO124" s="12"/>
      <c r="CP124" s="12"/>
      <c r="CQ124" s="12"/>
      <c r="CR124" s="12"/>
      <c r="CS124" s="12"/>
      <c r="CT124" s="12"/>
      <c r="CU124" s="12"/>
      <c r="CV124" s="12"/>
      <c r="CW124" s="12"/>
      <c r="CX124" s="12"/>
      <c r="CY124" s="12"/>
      <c r="CZ124" s="12"/>
      <c r="DA124" s="12"/>
      <c r="DB124" s="12"/>
      <c r="DC124" s="12"/>
      <c r="DD124" s="12"/>
      <c r="DE124" s="12"/>
      <c r="DF124" s="12"/>
      <c r="DG124" s="12"/>
      <c r="DH124" s="12"/>
      <c r="DI124" s="12"/>
      <c r="DJ124" s="12"/>
      <c r="DK124" s="12"/>
      <c r="DL124" s="12"/>
    </row>
    <row r="125" spans="5:116" ht="3.9" customHeight="1" x14ac:dyDescent="0.25">
      <c r="E125" s="9" t="s">
        <v>9</v>
      </c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44"/>
      <c r="AY125" s="11"/>
      <c r="BA125"/>
      <c r="BB125"/>
      <c r="BC125"/>
      <c r="BD125"/>
      <c r="BE125"/>
      <c r="BF125"/>
      <c r="BG125"/>
      <c r="BH125"/>
      <c r="BI125" s="12"/>
      <c r="BJ125" s="12"/>
      <c r="BK125" s="12"/>
      <c r="BL125" s="12"/>
      <c r="BM125" s="12"/>
      <c r="BN125" s="12"/>
      <c r="BO125" s="12"/>
      <c r="BP125" s="12"/>
      <c r="BQ125" s="12"/>
      <c r="BR125" s="12"/>
      <c r="BS125" s="12"/>
      <c r="BT125" s="12"/>
      <c r="BU125" s="12"/>
      <c r="BV125" s="12"/>
      <c r="BW125" s="12"/>
      <c r="BX125" s="12"/>
      <c r="BY125" s="12"/>
      <c r="BZ125" s="12"/>
      <c r="CA125" s="12"/>
      <c r="CB125" s="12"/>
      <c r="CC125" s="12"/>
      <c r="CD125" s="12"/>
      <c r="CE125" s="12"/>
      <c r="CF125" s="12"/>
      <c r="CG125" s="12"/>
      <c r="CH125" s="12"/>
      <c r="CI125" s="12"/>
      <c r="CJ125" s="12"/>
      <c r="CK125" s="12"/>
      <c r="CL125" s="12"/>
      <c r="CM125" s="12"/>
      <c r="CN125" s="12"/>
      <c r="CO125" s="12"/>
      <c r="CP125" s="12"/>
      <c r="CQ125" s="12"/>
      <c r="CR125" s="12"/>
      <c r="CS125" s="12"/>
      <c r="CT125" s="12"/>
      <c r="CU125" s="12"/>
      <c r="CV125" s="12"/>
      <c r="CW125" s="12"/>
      <c r="CX125" s="12"/>
      <c r="CY125" s="12"/>
      <c r="CZ125" s="12"/>
      <c r="DA125" s="12"/>
      <c r="DB125" s="12"/>
      <c r="DC125" s="12"/>
      <c r="DD125" s="12"/>
      <c r="DE125" s="12"/>
      <c r="DF125" s="12"/>
      <c r="DG125" s="12"/>
      <c r="DH125" s="12"/>
      <c r="DI125" s="12"/>
      <c r="DJ125" s="12"/>
      <c r="DK125" s="12"/>
      <c r="DL125" s="12"/>
    </row>
    <row r="126" spans="5:116" ht="11.1" customHeight="1" x14ac:dyDescent="0.25">
      <c r="F126" s="54"/>
      <c r="G126" s="849" t="s">
        <v>270</v>
      </c>
      <c r="H126" s="850"/>
      <c r="I126" s="850"/>
      <c r="J126" s="850"/>
      <c r="K126" s="850"/>
      <c r="L126" s="850"/>
      <c r="M126" s="850"/>
      <c r="N126" s="850"/>
      <c r="O126" s="850"/>
      <c r="P126" s="850"/>
      <c r="Q126" s="850"/>
      <c r="R126" s="850"/>
      <c r="S126" s="850"/>
      <c r="T126" s="850"/>
      <c r="U126" s="850"/>
      <c r="V126" s="850"/>
      <c r="W126" s="850"/>
      <c r="X126" s="850"/>
      <c r="Y126" s="850"/>
      <c r="Z126" s="850"/>
      <c r="AA126" s="851"/>
      <c r="AB126"/>
      <c r="AC126" s="849" t="s">
        <v>270</v>
      </c>
      <c r="AD126" s="850"/>
      <c r="AE126" s="850"/>
      <c r="AF126" s="850"/>
      <c r="AG126" s="850"/>
      <c r="AH126" s="850"/>
      <c r="AI126" s="850"/>
      <c r="AJ126" s="850"/>
      <c r="AK126" s="850"/>
      <c r="AL126" s="850"/>
      <c r="AM126" s="850"/>
      <c r="AN126" s="850"/>
      <c r="AO126" s="850"/>
      <c r="AP126" s="850"/>
      <c r="AQ126" s="850"/>
      <c r="AR126" s="850"/>
      <c r="AS126" s="850"/>
      <c r="AT126" s="850"/>
      <c r="AU126" s="850"/>
      <c r="AV126" s="850"/>
      <c r="AW126" s="851"/>
      <c r="AY126" s="11"/>
      <c r="BA126"/>
      <c r="BB126"/>
      <c r="BC126"/>
      <c r="BD126"/>
      <c r="BE126"/>
      <c r="BF126"/>
      <c r="BG126"/>
      <c r="BH126"/>
      <c r="BI126" s="12"/>
      <c r="BJ126" s="12"/>
      <c r="BK126" s="12"/>
      <c r="BL126" s="12"/>
      <c r="BM126" s="12"/>
      <c r="BN126" s="12"/>
      <c r="BO126" s="12"/>
      <c r="BP126" s="12"/>
      <c r="BQ126" s="12"/>
      <c r="BR126" s="12"/>
      <c r="BS126" s="12"/>
      <c r="BT126" s="12"/>
      <c r="BU126" s="12"/>
      <c r="BV126" s="12"/>
      <c r="BW126" s="12"/>
      <c r="BX126" s="12"/>
      <c r="BY126" s="12"/>
      <c r="BZ126" s="12"/>
      <c r="CA126" s="12"/>
      <c r="CB126" s="12"/>
      <c r="CC126" s="12"/>
      <c r="CD126" s="12"/>
      <c r="CE126" s="12"/>
      <c r="CF126" s="12"/>
      <c r="CG126" s="12"/>
      <c r="CH126" s="12"/>
      <c r="CI126" s="12"/>
      <c r="CJ126" s="12"/>
      <c r="CK126" s="12"/>
      <c r="CL126" s="12"/>
      <c r="CM126" s="12"/>
      <c r="CN126" s="12"/>
      <c r="CO126" s="12"/>
      <c r="CP126" s="12"/>
      <c r="CQ126" s="12"/>
      <c r="CR126" s="12"/>
      <c r="CS126" s="12"/>
      <c r="CT126" s="12"/>
      <c r="CU126" s="12"/>
      <c r="CV126" s="12"/>
      <c r="CW126" s="12"/>
      <c r="CX126" s="12"/>
      <c r="CY126" s="12"/>
      <c r="CZ126" s="12"/>
      <c r="DA126" s="12"/>
      <c r="DB126" s="12"/>
      <c r="DC126" s="12"/>
      <c r="DD126" s="12"/>
      <c r="DE126" s="12"/>
      <c r="DF126" s="12"/>
      <c r="DG126" s="12"/>
      <c r="DH126" s="12"/>
      <c r="DI126" s="12"/>
      <c r="DJ126" s="12"/>
      <c r="DK126" s="12"/>
      <c r="DL126" s="12"/>
    </row>
    <row r="127" spans="5:116" ht="11.1" customHeight="1" x14ac:dyDescent="0.25">
      <c r="F127" s="54"/>
      <c r="G127" s="625"/>
      <c r="H127" s="852"/>
      <c r="I127" s="852"/>
      <c r="J127" s="852"/>
      <c r="K127" s="852"/>
      <c r="L127" s="852"/>
      <c r="M127" s="852"/>
      <c r="N127" s="852"/>
      <c r="O127" s="852"/>
      <c r="P127" s="852"/>
      <c r="Q127" s="852"/>
      <c r="R127" s="852"/>
      <c r="S127" s="852"/>
      <c r="T127" s="852"/>
      <c r="U127" s="852"/>
      <c r="V127" s="852"/>
      <c r="W127" s="852"/>
      <c r="X127" s="852"/>
      <c r="Y127" s="852"/>
      <c r="Z127" s="852"/>
      <c r="AA127" s="627"/>
      <c r="AB127"/>
      <c r="AC127" s="625"/>
      <c r="AD127" s="852"/>
      <c r="AE127" s="852"/>
      <c r="AF127" s="852"/>
      <c r="AG127" s="852"/>
      <c r="AH127" s="852"/>
      <c r="AI127" s="852"/>
      <c r="AJ127" s="852"/>
      <c r="AK127" s="852"/>
      <c r="AL127" s="852"/>
      <c r="AM127" s="852"/>
      <c r="AN127" s="852"/>
      <c r="AO127" s="852"/>
      <c r="AP127" s="852"/>
      <c r="AQ127" s="852"/>
      <c r="AR127" s="852"/>
      <c r="AS127" s="852"/>
      <c r="AT127" s="852"/>
      <c r="AU127" s="852"/>
      <c r="AV127" s="852"/>
      <c r="AW127" s="627"/>
      <c r="AY127" s="11"/>
      <c r="BA127"/>
      <c r="BB127"/>
      <c r="BC127"/>
      <c r="BD127"/>
      <c r="BE127"/>
      <c r="BF127"/>
      <c r="BG127"/>
      <c r="BH127"/>
      <c r="BI127" s="12"/>
      <c r="BJ127" s="12"/>
      <c r="BK127" s="12"/>
      <c r="BL127" s="12"/>
      <c r="BM127" s="12"/>
      <c r="BN127" s="12"/>
      <c r="BO127" s="12"/>
      <c r="BP127" s="12"/>
      <c r="BQ127" s="12"/>
      <c r="BR127" s="12"/>
      <c r="BS127" s="12"/>
      <c r="BT127" s="12"/>
      <c r="BU127" s="12"/>
      <c r="BV127" s="12"/>
      <c r="BW127" s="12"/>
      <c r="BX127" s="12"/>
      <c r="BY127" s="12"/>
      <c r="BZ127" s="12"/>
      <c r="CA127" s="12"/>
      <c r="CB127" s="12"/>
      <c r="CC127" s="12"/>
      <c r="CD127" s="12"/>
      <c r="CE127" s="12"/>
      <c r="CF127" s="12"/>
      <c r="CG127" s="12"/>
      <c r="CH127" s="12"/>
      <c r="CI127" s="12"/>
      <c r="CJ127" s="12"/>
      <c r="CK127" s="12"/>
      <c r="CL127" s="12"/>
      <c r="CM127" s="12"/>
      <c r="CN127" s="12"/>
      <c r="CO127" s="12"/>
      <c r="CP127" s="12"/>
      <c r="CQ127" s="12"/>
      <c r="CR127" s="12"/>
      <c r="CS127" s="12"/>
      <c r="CT127" s="12"/>
      <c r="CU127" s="12"/>
      <c r="CV127" s="12"/>
      <c r="CW127" s="12"/>
      <c r="CX127" s="12"/>
      <c r="CY127" s="12"/>
      <c r="CZ127" s="12"/>
      <c r="DA127" s="12"/>
      <c r="DB127" s="12"/>
      <c r="DC127" s="12"/>
      <c r="DD127" s="12"/>
      <c r="DE127" s="12"/>
      <c r="DF127" s="12"/>
      <c r="DG127" s="12"/>
      <c r="DH127" s="12"/>
      <c r="DI127" s="12"/>
      <c r="DJ127" s="12"/>
      <c r="DK127" s="12"/>
      <c r="DL127" s="12"/>
    </row>
    <row r="128" spans="5:116" ht="11.1" customHeight="1" x14ac:dyDescent="0.25">
      <c r="F128" s="54"/>
      <c r="G128" s="625"/>
      <c r="H128" s="852"/>
      <c r="I128" s="852"/>
      <c r="J128" s="852"/>
      <c r="K128" s="852"/>
      <c r="L128" s="852"/>
      <c r="M128" s="852"/>
      <c r="N128" s="852"/>
      <c r="O128" s="852"/>
      <c r="P128" s="852"/>
      <c r="Q128" s="852"/>
      <c r="R128" s="852"/>
      <c r="S128" s="852"/>
      <c r="T128" s="852"/>
      <c r="U128" s="852"/>
      <c r="V128" s="852"/>
      <c r="W128" s="852"/>
      <c r="X128" s="852"/>
      <c r="Y128" s="852"/>
      <c r="Z128" s="852"/>
      <c r="AA128" s="627"/>
      <c r="AB128"/>
      <c r="AC128" s="625"/>
      <c r="AD128" s="852"/>
      <c r="AE128" s="852"/>
      <c r="AF128" s="852"/>
      <c r="AG128" s="852"/>
      <c r="AH128" s="852"/>
      <c r="AI128" s="852"/>
      <c r="AJ128" s="852"/>
      <c r="AK128" s="852"/>
      <c r="AL128" s="852"/>
      <c r="AM128" s="852"/>
      <c r="AN128" s="852"/>
      <c r="AO128" s="852"/>
      <c r="AP128" s="852"/>
      <c r="AQ128" s="852"/>
      <c r="AR128" s="852"/>
      <c r="AS128" s="852"/>
      <c r="AT128" s="852"/>
      <c r="AU128" s="852"/>
      <c r="AV128" s="852"/>
      <c r="AW128" s="627"/>
      <c r="AY128" s="11"/>
      <c r="BA128"/>
      <c r="BB128"/>
      <c r="BC128"/>
      <c r="BD128"/>
      <c r="BE128"/>
      <c r="BF128"/>
      <c r="BG128"/>
      <c r="BH128"/>
      <c r="BI128" s="12"/>
      <c r="BJ128" s="12"/>
      <c r="BK128" s="12"/>
      <c r="BL128" s="12"/>
      <c r="BM128" s="12"/>
      <c r="BN128" s="12"/>
      <c r="BO128" s="12"/>
      <c r="BP128" s="12"/>
      <c r="BQ128" s="12"/>
      <c r="BR128" s="12"/>
      <c r="BS128" s="12"/>
      <c r="BT128" s="12"/>
      <c r="BU128" s="12"/>
      <c r="BV128" s="12"/>
      <c r="BW128" s="12"/>
      <c r="BX128" s="12"/>
      <c r="BY128" s="12"/>
      <c r="BZ128" s="12"/>
      <c r="CA128" s="12"/>
      <c r="CB128" s="12"/>
      <c r="CC128" s="12"/>
      <c r="CD128" s="12"/>
      <c r="CE128" s="12"/>
      <c r="CF128" s="12"/>
      <c r="CG128" s="12"/>
      <c r="CH128" s="12"/>
      <c r="CI128" s="12"/>
      <c r="CJ128" s="12"/>
      <c r="CK128" s="12"/>
      <c r="CL128" s="12"/>
      <c r="CM128" s="12"/>
      <c r="CN128" s="12"/>
      <c r="CO128" s="12"/>
      <c r="CP128" s="12"/>
      <c r="CQ128" s="12"/>
      <c r="CR128" s="12"/>
      <c r="CS128" s="12"/>
      <c r="CT128" s="12"/>
      <c r="CU128" s="12"/>
      <c r="CV128" s="12"/>
      <c r="CW128" s="12"/>
      <c r="CX128" s="12"/>
      <c r="CY128" s="12"/>
      <c r="CZ128" s="12"/>
      <c r="DA128" s="12"/>
      <c r="DB128" s="12"/>
      <c r="DC128" s="12"/>
      <c r="DD128" s="12"/>
      <c r="DE128" s="12"/>
      <c r="DF128" s="12"/>
      <c r="DG128" s="12"/>
      <c r="DH128" s="12"/>
      <c r="DI128" s="12"/>
      <c r="DJ128" s="12"/>
      <c r="DK128" s="12"/>
      <c r="DL128" s="12"/>
    </row>
    <row r="129" spans="6:116" ht="11.1" customHeight="1" x14ac:dyDescent="0.25">
      <c r="F129" s="54"/>
      <c r="G129" s="625"/>
      <c r="H129" s="852"/>
      <c r="I129" s="852"/>
      <c r="J129" s="852"/>
      <c r="K129" s="852"/>
      <c r="L129" s="852"/>
      <c r="M129" s="852"/>
      <c r="N129" s="852"/>
      <c r="O129" s="852"/>
      <c r="P129" s="852"/>
      <c r="Q129" s="852"/>
      <c r="R129" s="852"/>
      <c r="S129" s="852"/>
      <c r="T129" s="852"/>
      <c r="U129" s="852"/>
      <c r="V129" s="852"/>
      <c r="W129" s="852"/>
      <c r="X129" s="852"/>
      <c r="Y129" s="852"/>
      <c r="Z129" s="852"/>
      <c r="AA129" s="627"/>
      <c r="AB129"/>
      <c r="AC129" s="625"/>
      <c r="AD129" s="852"/>
      <c r="AE129" s="852"/>
      <c r="AF129" s="852"/>
      <c r="AG129" s="852"/>
      <c r="AH129" s="852"/>
      <c r="AI129" s="852"/>
      <c r="AJ129" s="852"/>
      <c r="AK129" s="852"/>
      <c r="AL129" s="852"/>
      <c r="AM129" s="852"/>
      <c r="AN129" s="852"/>
      <c r="AO129" s="852"/>
      <c r="AP129" s="852"/>
      <c r="AQ129" s="852"/>
      <c r="AR129" s="852"/>
      <c r="AS129" s="852"/>
      <c r="AT129" s="852"/>
      <c r="AU129" s="852"/>
      <c r="AV129" s="852"/>
      <c r="AW129" s="627"/>
      <c r="AY129" s="11"/>
      <c r="BA129"/>
      <c r="BB129"/>
      <c r="BC129"/>
      <c r="BD129"/>
      <c r="BE129"/>
      <c r="BF129"/>
      <c r="BG129"/>
      <c r="BH129"/>
      <c r="BI129" s="12"/>
      <c r="BJ129" s="12"/>
      <c r="BK129" s="12"/>
      <c r="BL129" s="12"/>
      <c r="BM129" s="12"/>
      <c r="BN129" s="12"/>
      <c r="BO129" s="12"/>
      <c r="BP129" s="12"/>
      <c r="BQ129" s="12"/>
      <c r="BR129" s="12"/>
      <c r="BS129" s="12"/>
      <c r="BT129" s="12"/>
      <c r="BU129" s="12"/>
      <c r="BV129" s="12"/>
      <c r="BW129" s="12"/>
      <c r="BX129" s="12"/>
      <c r="BY129" s="12"/>
      <c r="BZ129" s="12"/>
      <c r="CA129" s="12"/>
      <c r="CB129" s="12"/>
      <c r="CC129" s="12"/>
      <c r="CD129" s="12"/>
      <c r="CE129" s="12"/>
      <c r="CF129" s="12"/>
      <c r="CG129" s="12"/>
      <c r="CH129" s="12"/>
      <c r="CI129" s="12"/>
      <c r="CJ129" s="12"/>
      <c r="CK129" s="12"/>
      <c r="CL129" s="12"/>
      <c r="CM129" s="12"/>
      <c r="CN129" s="12"/>
      <c r="CO129" s="12"/>
      <c r="CP129" s="12"/>
      <c r="CQ129" s="12"/>
      <c r="CR129" s="12"/>
      <c r="CS129" s="12"/>
      <c r="CT129" s="12"/>
      <c r="CU129" s="12"/>
      <c r="CV129" s="12"/>
      <c r="CW129" s="12"/>
      <c r="CX129" s="12"/>
      <c r="CY129" s="12"/>
      <c r="CZ129" s="12"/>
      <c r="DA129" s="12"/>
      <c r="DB129" s="12"/>
      <c r="DC129" s="12"/>
      <c r="DD129" s="12"/>
      <c r="DE129" s="12"/>
      <c r="DF129" s="12"/>
      <c r="DG129" s="12"/>
      <c r="DH129" s="12"/>
      <c r="DI129" s="12"/>
      <c r="DJ129" s="12"/>
      <c r="DK129" s="12"/>
      <c r="DL129" s="12"/>
    </row>
    <row r="130" spans="6:116" ht="11.1" customHeight="1" x14ac:dyDescent="0.25">
      <c r="F130" s="54"/>
      <c r="G130" s="625"/>
      <c r="H130" s="852"/>
      <c r="I130" s="852"/>
      <c r="J130" s="852"/>
      <c r="K130" s="852"/>
      <c r="L130" s="852"/>
      <c r="M130" s="852"/>
      <c r="N130" s="852"/>
      <c r="O130" s="852"/>
      <c r="P130" s="852"/>
      <c r="Q130" s="852"/>
      <c r="R130" s="852"/>
      <c r="S130" s="852"/>
      <c r="T130" s="852"/>
      <c r="U130" s="852"/>
      <c r="V130" s="852"/>
      <c r="W130" s="852"/>
      <c r="X130" s="852"/>
      <c r="Y130" s="852"/>
      <c r="Z130" s="852"/>
      <c r="AA130" s="627"/>
      <c r="AB130"/>
      <c r="AC130" s="625"/>
      <c r="AD130" s="852"/>
      <c r="AE130" s="852"/>
      <c r="AF130" s="852"/>
      <c r="AG130" s="852"/>
      <c r="AH130" s="852"/>
      <c r="AI130" s="852"/>
      <c r="AJ130" s="852"/>
      <c r="AK130" s="852"/>
      <c r="AL130" s="852"/>
      <c r="AM130" s="852"/>
      <c r="AN130" s="852"/>
      <c r="AO130" s="852"/>
      <c r="AP130" s="852"/>
      <c r="AQ130" s="852"/>
      <c r="AR130" s="852"/>
      <c r="AS130" s="852"/>
      <c r="AT130" s="852"/>
      <c r="AU130" s="852"/>
      <c r="AV130" s="852"/>
      <c r="AW130" s="627"/>
      <c r="AY130" s="11"/>
      <c r="BA130"/>
      <c r="BB130"/>
      <c r="BC130"/>
      <c r="BD130"/>
      <c r="BE130"/>
      <c r="BF130"/>
      <c r="BG130"/>
      <c r="BH130"/>
      <c r="BI130" s="12"/>
      <c r="BJ130" s="12"/>
      <c r="BK130" s="12"/>
      <c r="BL130" s="12"/>
      <c r="BM130" s="12"/>
      <c r="BN130" s="12"/>
      <c r="BO130" s="12"/>
      <c r="BP130" s="12"/>
      <c r="BQ130" s="12"/>
      <c r="BR130" s="12"/>
      <c r="BS130" s="12"/>
      <c r="BT130" s="12"/>
      <c r="BU130" s="12"/>
      <c r="BV130" s="12"/>
      <c r="BW130" s="12"/>
      <c r="BX130" s="12"/>
      <c r="BY130" s="12"/>
      <c r="BZ130" s="12"/>
      <c r="CA130" s="12"/>
      <c r="CB130" s="12"/>
      <c r="CC130" s="12"/>
      <c r="CD130" s="12"/>
      <c r="CE130" s="12"/>
      <c r="CF130" s="12"/>
      <c r="CG130" s="12"/>
      <c r="CH130" s="12"/>
      <c r="CI130" s="12"/>
      <c r="CJ130" s="12"/>
      <c r="CK130" s="12"/>
      <c r="CL130" s="12"/>
      <c r="CM130" s="12"/>
      <c r="CN130" s="12"/>
      <c r="CO130" s="12"/>
      <c r="CP130" s="12"/>
      <c r="CQ130" s="12"/>
      <c r="CR130" s="12"/>
      <c r="CS130" s="12"/>
      <c r="CT130" s="12"/>
      <c r="CU130" s="12"/>
      <c r="CV130" s="12"/>
      <c r="CW130" s="12"/>
      <c r="CX130" s="12"/>
      <c r="CY130" s="12"/>
      <c r="CZ130" s="12"/>
      <c r="DA130" s="12"/>
      <c r="DB130" s="12"/>
      <c r="DC130" s="12"/>
      <c r="DD130" s="12"/>
      <c r="DE130" s="12"/>
      <c r="DF130" s="12"/>
      <c r="DG130" s="12"/>
      <c r="DH130" s="12"/>
      <c r="DI130" s="12"/>
      <c r="DJ130" s="12"/>
      <c r="DK130" s="12"/>
      <c r="DL130" s="12"/>
    </row>
    <row r="131" spans="6:116" ht="11.1" customHeight="1" x14ac:dyDescent="0.25">
      <c r="F131" s="54"/>
      <c r="G131" s="625"/>
      <c r="H131" s="852"/>
      <c r="I131" s="852"/>
      <c r="J131" s="852"/>
      <c r="K131" s="852"/>
      <c r="L131" s="852"/>
      <c r="M131" s="852"/>
      <c r="N131" s="852"/>
      <c r="O131" s="852"/>
      <c r="P131" s="852"/>
      <c r="Q131" s="852"/>
      <c r="R131" s="852"/>
      <c r="S131" s="852"/>
      <c r="T131" s="852"/>
      <c r="U131" s="852"/>
      <c r="V131" s="852"/>
      <c r="W131" s="852"/>
      <c r="X131" s="852"/>
      <c r="Y131" s="852"/>
      <c r="Z131" s="852"/>
      <c r="AA131" s="627"/>
      <c r="AB131"/>
      <c r="AC131" s="625"/>
      <c r="AD131" s="852"/>
      <c r="AE131" s="852"/>
      <c r="AF131" s="852"/>
      <c r="AG131" s="852"/>
      <c r="AH131" s="852"/>
      <c r="AI131" s="852"/>
      <c r="AJ131" s="852"/>
      <c r="AK131" s="852"/>
      <c r="AL131" s="852"/>
      <c r="AM131" s="852"/>
      <c r="AN131" s="852"/>
      <c r="AO131" s="852"/>
      <c r="AP131" s="852"/>
      <c r="AQ131" s="852"/>
      <c r="AR131" s="852"/>
      <c r="AS131" s="852"/>
      <c r="AT131" s="852"/>
      <c r="AU131" s="852"/>
      <c r="AV131" s="852"/>
      <c r="AW131" s="627"/>
      <c r="AY131" s="11"/>
      <c r="BA131"/>
      <c r="BB131"/>
      <c r="BC131"/>
      <c r="BD131"/>
      <c r="BE131"/>
      <c r="BF131"/>
      <c r="BG131"/>
      <c r="BH131"/>
      <c r="BI131" s="12"/>
      <c r="BJ131" s="12"/>
      <c r="BK131" s="12"/>
      <c r="BL131" s="12"/>
      <c r="BM131" s="12"/>
      <c r="BN131" s="12"/>
      <c r="BO131" s="12"/>
      <c r="BP131" s="12"/>
      <c r="BQ131" s="12"/>
      <c r="BR131" s="12"/>
      <c r="BS131" s="12"/>
      <c r="BT131" s="12"/>
      <c r="BU131" s="12"/>
      <c r="BV131" s="12"/>
      <c r="BW131" s="12"/>
      <c r="BX131" s="12"/>
      <c r="BY131" s="12"/>
      <c r="BZ131" s="12"/>
      <c r="CA131" s="12"/>
      <c r="CB131" s="12"/>
      <c r="CC131" s="12"/>
      <c r="CD131" s="12"/>
      <c r="CE131" s="12"/>
      <c r="CF131" s="12"/>
      <c r="CG131" s="12"/>
      <c r="CH131" s="12"/>
      <c r="CI131" s="12"/>
      <c r="CJ131" s="12"/>
      <c r="CK131" s="12"/>
      <c r="CL131" s="12"/>
      <c r="CM131" s="12"/>
      <c r="CN131" s="12"/>
      <c r="CO131" s="12"/>
      <c r="CP131" s="12"/>
      <c r="CQ131" s="12"/>
      <c r="CR131" s="12"/>
      <c r="CS131" s="12"/>
      <c r="CT131" s="12"/>
      <c r="CU131" s="12"/>
      <c r="CV131" s="12"/>
      <c r="CW131" s="12"/>
      <c r="CX131" s="12"/>
      <c r="CY131" s="12"/>
      <c r="CZ131" s="12"/>
      <c r="DA131" s="12"/>
      <c r="DB131" s="12"/>
      <c r="DC131" s="12"/>
      <c r="DD131" s="12"/>
      <c r="DE131" s="12"/>
      <c r="DF131" s="12"/>
      <c r="DG131" s="12"/>
      <c r="DH131" s="12"/>
      <c r="DI131" s="12"/>
      <c r="DJ131" s="12"/>
      <c r="DK131" s="12"/>
      <c r="DL131" s="12"/>
    </row>
    <row r="132" spans="6:116" ht="11.1" customHeight="1" x14ac:dyDescent="0.25">
      <c r="F132" s="54"/>
      <c r="G132" s="625"/>
      <c r="H132" s="852"/>
      <c r="I132" s="852"/>
      <c r="J132" s="852"/>
      <c r="K132" s="852"/>
      <c r="L132" s="852"/>
      <c r="M132" s="852"/>
      <c r="N132" s="852"/>
      <c r="O132" s="852"/>
      <c r="P132" s="852"/>
      <c r="Q132" s="852"/>
      <c r="R132" s="852"/>
      <c r="S132" s="852"/>
      <c r="T132" s="852"/>
      <c r="U132" s="852"/>
      <c r="V132" s="852"/>
      <c r="W132" s="852"/>
      <c r="X132" s="852"/>
      <c r="Y132" s="852"/>
      <c r="Z132" s="852"/>
      <c r="AA132" s="627"/>
      <c r="AB132"/>
      <c r="AC132" s="625"/>
      <c r="AD132" s="852"/>
      <c r="AE132" s="852"/>
      <c r="AF132" s="852"/>
      <c r="AG132" s="852"/>
      <c r="AH132" s="852"/>
      <c r="AI132" s="852"/>
      <c r="AJ132" s="852"/>
      <c r="AK132" s="852"/>
      <c r="AL132" s="852"/>
      <c r="AM132" s="852"/>
      <c r="AN132" s="852"/>
      <c r="AO132" s="852"/>
      <c r="AP132" s="852"/>
      <c r="AQ132" s="852"/>
      <c r="AR132" s="852"/>
      <c r="AS132" s="852"/>
      <c r="AT132" s="852"/>
      <c r="AU132" s="852"/>
      <c r="AV132" s="852"/>
      <c r="AW132" s="627"/>
      <c r="AY132" s="11"/>
      <c r="BA132"/>
      <c r="BB132"/>
      <c r="BC132"/>
      <c r="BD132"/>
      <c r="BE132"/>
      <c r="BF132"/>
      <c r="BG132"/>
      <c r="BH132"/>
      <c r="BI132" s="12"/>
      <c r="BJ132" s="12"/>
      <c r="BK132" s="12"/>
      <c r="BL132" s="12"/>
      <c r="BM132" s="12"/>
      <c r="BN132" s="12"/>
      <c r="BO132" s="12"/>
      <c r="BP132" s="12"/>
      <c r="BQ132" s="12"/>
      <c r="BR132" s="12"/>
      <c r="BS132" s="12"/>
      <c r="BT132" s="12"/>
      <c r="BU132" s="12"/>
      <c r="BV132" s="12"/>
      <c r="BW132" s="12"/>
      <c r="BX132" s="12"/>
      <c r="BY132" s="12"/>
      <c r="BZ132" s="12"/>
      <c r="CA132" s="12"/>
      <c r="CB132" s="12"/>
      <c r="CC132" s="12"/>
      <c r="CD132" s="12"/>
      <c r="CE132" s="12"/>
      <c r="CF132" s="12"/>
      <c r="CG132" s="12"/>
      <c r="CH132" s="12"/>
      <c r="CI132" s="12"/>
      <c r="CJ132" s="12"/>
      <c r="CK132" s="12"/>
      <c r="CL132" s="12"/>
      <c r="CM132" s="12"/>
      <c r="CN132" s="12"/>
      <c r="CO132" s="12"/>
      <c r="CP132" s="12"/>
      <c r="CQ132" s="12"/>
      <c r="CR132" s="12"/>
      <c r="CS132" s="12"/>
      <c r="CT132" s="12"/>
      <c r="CU132" s="12"/>
      <c r="CV132" s="12"/>
      <c r="CW132" s="12"/>
      <c r="CX132" s="12"/>
      <c r="CY132" s="12"/>
      <c r="CZ132" s="12"/>
      <c r="DA132" s="12"/>
      <c r="DB132" s="12"/>
      <c r="DC132" s="12"/>
      <c r="DD132" s="12"/>
      <c r="DE132" s="12"/>
      <c r="DF132" s="12"/>
      <c r="DG132" s="12"/>
      <c r="DH132" s="12"/>
      <c r="DI132" s="12"/>
      <c r="DJ132" s="12"/>
      <c r="DK132" s="12"/>
      <c r="DL132" s="12"/>
    </row>
    <row r="133" spans="6:116" ht="11.1" customHeight="1" x14ac:dyDescent="0.25">
      <c r="F133" s="54"/>
      <c r="G133" s="625"/>
      <c r="H133" s="852"/>
      <c r="I133" s="852"/>
      <c r="J133" s="852"/>
      <c r="K133" s="852"/>
      <c r="L133" s="852"/>
      <c r="M133" s="852"/>
      <c r="N133" s="852"/>
      <c r="O133" s="852"/>
      <c r="P133" s="852"/>
      <c r="Q133" s="852"/>
      <c r="R133" s="852"/>
      <c r="S133" s="852"/>
      <c r="T133" s="852"/>
      <c r="U133" s="852"/>
      <c r="V133" s="852"/>
      <c r="W133" s="852"/>
      <c r="X133" s="852"/>
      <c r="Y133" s="852"/>
      <c r="Z133" s="852"/>
      <c r="AA133" s="627"/>
      <c r="AB133"/>
      <c r="AC133" s="625"/>
      <c r="AD133" s="852"/>
      <c r="AE133" s="852"/>
      <c r="AF133" s="852"/>
      <c r="AG133" s="852"/>
      <c r="AH133" s="852"/>
      <c r="AI133" s="852"/>
      <c r="AJ133" s="852"/>
      <c r="AK133" s="852"/>
      <c r="AL133" s="852"/>
      <c r="AM133" s="852"/>
      <c r="AN133" s="852"/>
      <c r="AO133" s="852"/>
      <c r="AP133" s="852"/>
      <c r="AQ133" s="852"/>
      <c r="AR133" s="852"/>
      <c r="AS133" s="852"/>
      <c r="AT133" s="852"/>
      <c r="AU133" s="852"/>
      <c r="AV133" s="852"/>
      <c r="AW133" s="627"/>
      <c r="AY133" s="11"/>
      <c r="BA133"/>
      <c r="BB133"/>
      <c r="BC133"/>
      <c r="BD133"/>
      <c r="BE133"/>
      <c r="BF133"/>
      <c r="BG133"/>
      <c r="BH133"/>
      <c r="BI133" s="12"/>
      <c r="BJ133" s="12"/>
      <c r="BK133" s="12"/>
      <c r="BL133" s="12"/>
      <c r="BM133" s="12"/>
      <c r="BN133" s="12"/>
      <c r="BO133" s="12"/>
      <c r="BP133" s="12"/>
      <c r="BQ133" s="12"/>
      <c r="BR133" s="12"/>
      <c r="BS133" s="12"/>
      <c r="BT133" s="12"/>
      <c r="BU133" s="12"/>
      <c r="BV133" s="12"/>
      <c r="BW133" s="12"/>
      <c r="BX133" s="12"/>
      <c r="BY133" s="12"/>
      <c r="BZ133" s="12"/>
      <c r="CA133" s="12"/>
      <c r="CB133" s="12"/>
      <c r="CC133" s="12"/>
      <c r="CD133" s="12"/>
      <c r="CE133" s="12"/>
      <c r="CF133" s="12"/>
      <c r="CG133" s="12"/>
      <c r="CH133" s="12"/>
      <c r="CI133" s="12"/>
      <c r="CJ133" s="12"/>
      <c r="CK133" s="12"/>
      <c r="CL133" s="12"/>
      <c r="CM133" s="12"/>
      <c r="CN133" s="12"/>
      <c r="CO133" s="12"/>
      <c r="CP133" s="12"/>
      <c r="CQ133" s="12"/>
      <c r="CR133" s="12"/>
      <c r="CS133" s="12"/>
      <c r="CT133" s="12"/>
      <c r="CU133" s="12"/>
      <c r="CV133" s="12"/>
      <c r="CW133" s="12"/>
      <c r="CX133" s="12"/>
      <c r="CY133" s="12"/>
      <c r="CZ133" s="12"/>
      <c r="DA133" s="12"/>
      <c r="DB133" s="12"/>
      <c r="DC133" s="12"/>
      <c r="DD133" s="12"/>
      <c r="DE133" s="12"/>
      <c r="DF133" s="12"/>
      <c r="DG133" s="12"/>
      <c r="DH133" s="12"/>
      <c r="DI133" s="12"/>
      <c r="DJ133" s="12"/>
      <c r="DK133" s="12"/>
      <c r="DL133" s="12"/>
    </row>
    <row r="134" spans="6:116" ht="11.1" customHeight="1" x14ac:dyDescent="0.25">
      <c r="F134" s="54"/>
      <c r="G134" s="625"/>
      <c r="H134" s="852"/>
      <c r="I134" s="852"/>
      <c r="J134" s="852"/>
      <c r="K134" s="852"/>
      <c r="L134" s="852"/>
      <c r="M134" s="852"/>
      <c r="N134" s="852"/>
      <c r="O134" s="852"/>
      <c r="P134" s="852"/>
      <c r="Q134" s="852"/>
      <c r="R134" s="852"/>
      <c r="S134" s="852"/>
      <c r="T134" s="852"/>
      <c r="U134" s="852"/>
      <c r="V134" s="852"/>
      <c r="W134" s="852"/>
      <c r="X134" s="852"/>
      <c r="Y134" s="852"/>
      <c r="Z134" s="852"/>
      <c r="AA134" s="627"/>
      <c r="AB134"/>
      <c r="AC134" s="625"/>
      <c r="AD134" s="852"/>
      <c r="AE134" s="852"/>
      <c r="AF134" s="852"/>
      <c r="AG134" s="852"/>
      <c r="AH134" s="852"/>
      <c r="AI134" s="852"/>
      <c r="AJ134" s="852"/>
      <c r="AK134" s="852"/>
      <c r="AL134" s="852"/>
      <c r="AM134" s="852"/>
      <c r="AN134" s="852"/>
      <c r="AO134" s="852"/>
      <c r="AP134" s="852"/>
      <c r="AQ134" s="852"/>
      <c r="AR134" s="852"/>
      <c r="AS134" s="852"/>
      <c r="AT134" s="852"/>
      <c r="AU134" s="852"/>
      <c r="AV134" s="852"/>
      <c r="AW134" s="627"/>
      <c r="AY134" s="11"/>
      <c r="BA134"/>
      <c r="BB134"/>
      <c r="BC134"/>
      <c r="BD134"/>
      <c r="BE134"/>
      <c r="BF134"/>
      <c r="BG134"/>
      <c r="BH134"/>
      <c r="BI134" s="12"/>
      <c r="BJ134" s="12"/>
      <c r="BK134" s="12"/>
      <c r="BL134" s="12"/>
      <c r="BM134" s="12"/>
      <c r="BN134" s="12"/>
      <c r="BO134" s="12"/>
      <c r="BP134" s="12"/>
      <c r="BQ134" s="12"/>
      <c r="BR134" s="12"/>
      <c r="BS134" s="12"/>
      <c r="BT134" s="12"/>
      <c r="BU134" s="12"/>
      <c r="BV134" s="12"/>
      <c r="BW134" s="12"/>
      <c r="BX134" s="12"/>
      <c r="BY134" s="12"/>
      <c r="BZ134" s="12"/>
      <c r="CA134" s="12"/>
      <c r="CB134" s="12"/>
      <c r="CC134" s="12"/>
      <c r="CD134" s="12"/>
      <c r="CE134" s="12"/>
      <c r="CF134" s="12"/>
      <c r="CG134" s="12"/>
      <c r="CH134" s="12"/>
      <c r="CI134" s="12"/>
      <c r="CJ134" s="12"/>
      <c r="CK134" s="12"/>
      <c r="CL134" s="12"/>
      <c r="CM134" s="12"/>
      <c r="CN134" s="12"/>
      <c r="CO134" s="12"/>
      <c r="CP134" s="12"/>
      <c r="CQ134" s="12"/>
      <c r="CR134" s="12"/>
      <c r="CS134" s="12"/>
      <c r="CT134" s="12"/>
      <c r="CU134" s="12"/>
      <c r="CV134" s="12"/>
      <c r="CW134" s="12"/>
      <c r="CX134" s="12"/>
      <c r="CY134" s="12"/>
      <c r="CZ134" s="12"/>
      <c r="DA134" s="12"/>
      <c r="DB134" s="12"/>
      <c r="DC134" s="12"/>
      <c r="DD134" s="12"/>
      <c r="DE134" s="12"/>
      <c r="DF134" s="12"/>
      <c r="DG134" s="12"/>
      <c r="DH134" s="12"/>
      <c r="DI134" s="12"/>
      <c r="DJ134" s="12"/>
      <c r="DK134" s="12"/>
      <c r="DL134" s="12"/>
    </row>
    <row r="135" spans="6:116" ht="11.1" customHeight="1" x14ac:dyDescent="0.25">
      <c r="F135" s="54"/>
      <c r="G135" s="625"/>
      <c r="H135" s="852"/>
      <c r="I135" s="852"/>
      <c r="J135" s="852"/>
      <c r="K135" s="852"/>
      <c r="L135" s="852"/>
      <c r="M135" s="852"/>
      <c r="N135" s="852"/>
      <c r="O135" s="852"/>
      <c r="P135" s="852"/>
      <c r="Q135" s="852"/>
      <c r="R135" s="852"/>
      <c r="S135" s="852"/>
      <c r="T135" s="852"/>
      <c r="U135" s="852"/>
      <c r="V135" s="852"/>
      <c r="W135" s="852"/>
      <c r="X135" s="852"/>
      <c r="Y135" s="852"/>
      <c r="Z135" s="852"/>
      <c r="AA135" s="627"/>
      <c r="AB135"/>
      <c r="AC135" s="625"/>
      <c r="AD135" s="852"/>
      <c r="AE135" s="852"/>
      <c r="AF135" s="852"/>
      <c r="AG135" s="852"/>
      <c r="AH135" s="852"/>
      <c r="AI135" s="852"/>
      <c r="AJ135" s="852"/>
      <c r="AK135" s="852"/>
      <c r="AL135" s="852"/>
      <c r="AM135" s="852"/>
      <c r="AN135" s="852"/>
      <c r="AO135" s="852"/>
      <c r="AP135" s="852"/>
      <c r="AQ135" s="852"/>
      <c r="AR135" s="852"/>
      <c r="AS135" s="852"/>
      <c r="AT135" s="852"/>
      <c r="AU135" s="852"/>
      <c r="AV135" s="852"/>
      <c r="AW135" s="627"/>
      <c r="AY135" s="11"/>
      <c r="BA135"/>
      <c r="BB135"/>
      <c r="BC135"/>
      <c r="BD135"/>
      <c r="BE135"/>
      <c r="BF135"/>
      <c r="BG135"/>
      <c r="BH135"/>
      <c r="BI135" s="12"/>
      <c r="BJ135" s="12"/>
      <c r="BK135" s="12"/>
      <c r="BL135" s="12"/>
      <c r="BM135" s="12"/>
      <c r="BN135" s="12"/>
      <c r="BO135" s="12"/>
      <c r="BP135" s="12"/>
      <c r="BQ135" s="12"/>
      <c r="BR135" s="12"/>
      <c r="BS135" s="12"/>
      <c r="BT135" s="12"/>
      <c r="BU135" s="12"/>
      <c r="BV135" s="12"/>
      <c r="BW135" s="12"/>
      <c r="BX135" s="12"/>
      <c r="BY135" s="12"/>
      <c r="BZ135" s="12"/>
      <c r="CA135" s="12"/>
      <c r="CB135" s="12"/>
      <c r="CC135" s="12"/>
      <c r="CD135" s="12"/>
      <c r="CE135" s="12"/>
      <c r="CF135" s="12"/>
      <c r="CG135" s="12"/>
      <c r="CH135" s="12"/>
      <c r="CI135" s="12"/>
      <c r="CJ135" s="12"/>
      <c r="CK135" s="12"/>
      <c r="CL135" s="12"/>
      <c r="CM135" s="12"/>
      <c r="CN135" s="12"/>
      <c r="CO135" s="12"/>
      <c r="CP135" s="12"/>
      <c r="CQ135" s="12"/>
      <c r="CR135" s="12"/>
      <c r="CS135" s="12"/>
      <c r="CT135" s="12"/>
      <c r="CU135" s="12"/>
      <c r="CV135" s="12"/>
      <c r="CW135" s="12"/>
      <c r="CX135" s="12"/>
      <c r="CY135" s="12"/>
      <c r="CZ135" s="12"/>
      <c r="DA135" s="12"/>
      <c r="DB135" s="12"/>
      <c r="DC135" s="12"/>
      <c r="DD135" s="12"/>
      <c r="DE135" s="12"/>
      <c r="DF135" s="12"/>
      <c r="DG135" s="12"/>
      <c r="DH135" s="12"/>
      <c r="DI135" s="12"/>
      <c r="DJ135" s="12"/>
      <c r="DK135" s="12"/>
      <c r="DL135" s="12"/>
    </row>
    <row r="136" spans="6:116" ht="11.1" customHeight="1" x14ac:dyDescent="0.25">
      <c r="F136" s="54"/>
      <c r="G136" s="625"/>
      <c r="H136" s="852"/>
      <c r="I136" s="852"/>
      <c r="J136" s="852"/>
      <c r="K136" s="852"/>
      <c r="L136" s="852"/>
      <c r="M136" s="852"/>
      <c r="N136" s="852"/>
      <c r="O136" s="852"/>
      <c r="P136" s="852"/>
      <c r="Q136" s="852"/>
      <c r="R136" s="852"/>
      <c r="S136" s="852"/>
      <c r="T136" s="852"/>
      <c r="U136" s="852"/>
      <c r="V136" s="852"/>
      <c r="W136" s="852"/>
      <c r="X136" s="852"/>
      <c r="Y136" s="852"/>
      <c r="Z136" s="852"/>
      <c r="AA136" s="627"/>
      <c r="AB136"/>
      <c r="AC136" s="625"/>
      <c r="AD136" s="852"/>
      <c r="AE136" s="852"/>
      <c r="AF136" s="852"/>
      <c r="AG136" s="852"/>
      <c r="AH136" s="852"/>
      <c r="AI136" s="852"/>
      <c r="AJ136" s="852"/>
      <c r="AK136" s="852"/>
      <c r="AL136" s="852"/>
      <c r="AM136" s="852"/>
      <c r="AN136" s="852"/>
      <c r="AO136" s="852"/>
      <c r="AP136" s="852"/>
      <c r="AQ136" s="852"/>
      <c r="AR136" s="852"/>
      <c r="AS136" s="852"/>
      <c r="AT136" s="852"/>
      <c r="AU136" s="852"/>
      <c r="AV136" s="852"/>
      <c r="AW136" s="627"/>
      <c r="AY136" s="11"/>
      <c r="BA136"/>
      <c r="BB136"/>
      <c r="BC136"/>
      <c r="BD136"/>
      <c r="BE136"/>
      <c r="BF136"/>
      <c r="BG136"/>
      <c r="BH136"/>
      <c r="BI136" s="12"/>
      <c r="BJ136" s="12"/>
      <c r="BK136" s="12"/>
      <c r="BL136" s="12"/>
      <c r="BM136" s="12"/>
      <c r="BN136" s="12"/>
      <c r="BO136" s="12"/>
      <c r="BP136" s="12"/>
      <c r="BQ136" s="12"/>
      <c r="BR136" s="12"/>
      <c r="BS136" s="12"/>
      <c r="BT136" s="12"/>
      <c r="BU136" s="12"/>
      <c r="BV136" s="12"/>
      <c r="BW136" s="12"/>
      <c r="BX136" s="12"/>
      <c r="BY136" s="12"/>
      <c r="BZ136" s="12"/>
      <c r="CA136" s="12"/>
      <c r="CB136" s="12"/>
      <c r="CC136" s="12"/>
      <c r="CD136" s="12"/>
      <c r="CE136" s="12"/>
      <c r="CF136" s="12"/>
      <c r="CG136" s="12"/>
      <c r="CH136" s="12"/>
      <c r="CI136" s="12"/>
      <c r="CJ136" s="12"/>
      <c r="CK136" s="12"/>
      <c r="CL136" s="12"/>
      <c r="CM136" s="12"/>
      <c r="CN136" s="12"/>
      <c r="CO136" s="12"/>
      <c r="CP136" s="12"/>
      <c r="CQ136" s="12"/>
      <c r="CR136" s="12"/>
      <c r="CS136" s="12"/>
      <c r="CT136" s="12"/>
      <c r="CU136" s="12"/>
      <c r="CV136" s="12"/>
      <c r="CW136" s="12"/>
      <c r="CX136" s="12"/>
      <c r="CY136" s="12"/>
      <c r="CZ136" s="12"/>
      <c r="DA136" s="12"/>
      <c r="DB136" s="12"/>
      <c r="DC136" s="12"/>
      <c r="DD136" s="12"/>
      <c r="DE136" s="12"/>
      <c r="DF136" s="12"/>
      <c r="DG136" s="12"/>
      <c r="DH136" s="12"/>
      <c r="DI136" s="12"/>
      <c r="DJ136" s="12"/>
      <c r="DK136" s="12"/>
      <c r="DL136" s="12"/>
    </row>
    <row r="137" spans="6:116" ht="11.1" customHeight="1" x14ac:dyDescent="0.25">
      <c r="F137" s="54"/>
      <c r="G137" s="625"/>
      <c r="H137" s="852"/>
      <c r="I137" s="852"/>
      <c r="J137" s="852"/>
      <c r="K137" s="852"/>
      <c r="L137" s="852"/>
      <c r="M137" s="852"/>
      <c r="N137" s="852"/>
      <c r="O137" s="852"/>
      <c r="P137" s="852"/>
      <c r="Q137" s="852"/>
      <c r="R137" s="852"/>
      <c r="S137" s="852"/>
      <c r="T137" s="852"/>
      <c r="U137" s="852"/>
      <c r="V137" s="852"/>
      <c r="W137" s="852"/>
      <c r="X137" s="852"/>
      <c r="Y137" s="852"/>
      <c r="Z137" s="852"/>
      <c r="AA137" s="627"/>
      <c r="AB137"/>
      <c r="AC137" s="625"/>
      <c r="AD137" s="852"/>
      <c r="AE137" s="852"/>
      <c r="AF137" s="852"/>
      <c r="AG137" s="852"/>
      <c r="AH137" s="852"/>
      <c r="AI137" s="852"/>
      <c r="AJ137" s="852"/>
      <c r="AK137" s="852"/>
      <c r="AL137" s="852"/>
      <c r="AM137" s="852"/>
      <c r="AN137" s="852"/>
      <c r="AO137" s="852"/>
      <c r="AP137" s="852"/>
      <c r="AQ137" s="852"/>
      <c r="AR137" s="852"/>
      <c r="AS137" s="852"/>
      <c r="AT137" s="852"/>
      <c r="AU137" s="852"/>
      <c r="AV137" s="852"/>
      <c r="AW137" s="627"/>
      <c r="AY137" s="11"/>
      <c r="BA137"/>
      <c r="BB137"/>
      <c r="BC137"/>
      <c r="BD137"/>
      <c r="BE137"/>
      <c r="BF137"/>
      <c r="BG137"/>
      <c r="BH137"/>
      <c r="BI137" s="12"/>
      <c r="BJ137" s="12"/>
      <c r="BK137" s="12"/>
      <c r="BL137" s="12"/>
      <c r="BM137" s="12"/>
      <c r="BN137" s="12"/>
      <c r="BO137" s="12"/>
      <c r="BP137" s="12"/>
      <c r="BQ137" s="12"/>
      <c r="BR137" s="12"/>
      <c r="BS137" s="12"/>
      <c r="BT137" s="12"/>
      <c r="BU137" s="12"/>
      <c r="BV137" s="12"/>
      <c r="BW137" s="12"/>
      <c r="BX137" s="12"/>
      <c r="BY137" s="12"/>
      <c r="BZ137" s="12"/>
      <c r="CA137" s="12"/>
      <c r="CB137" s="12"/>
      <c r="CC137" s="12"/>
      <c r="CD137" s="12"/>
      <c r="CE137" s="12"/>
      <c r="CF137" s="12"/>
      <c r="CG137" s="12"/>
      <c r="CH137" s="12"/>
      <c r="CI137" s="12"/>
      <c r="CJ137" s="12"/>
      <c r="CK137" s="12"/>
      <c r="CL137" s="12"/>
      <c r="CM137" s="12"/>
      <c r="CN137" s="12"/>
      <c r="CO137" s="12"/>
      <c r="CP137" s="12"/>
      <c r="CQ137" s="12"/>
      <c r="CR137" s="12"/>
      <c r="CS137" s="12"/>
      <c r="CT137" s="12"/>
      <c r="CU137" s="12"/>
      <c r="CV137" s="12"/>
      <c r="CW137" s="12"/>
      <c r="CX137" s="12"/>
      <c r="CY137" s="12"/>
      <c r="CZ137" s="12"/>
      <c r="DA137" s="12"/>
      <c r="DB137" s="12"/>
      <c r="DC137" s="12"/>
      <c r="DD137" s="12"/>
      <c r="DE137" s="12"/>
      <c r="DF137" s="12"/>
      <c r="DG137" s="12"/>
      <c r="DH137" s="12"/>
      <c r="DI137" s="12"/>
      <c r="DJ137" s="12"/>
      <c r="DK137" s="12"/>
      <c r="DL137" s="12"/>
    </row>
    <row r="138" spans="6:116" ht="11.1" customHeight="1" x14ac:dyDescent="0.25">
      <c r="F138" s="54"/>
      <c r="G138" s="625"/>
      <c r="H138" s="852"/>
      <c r="I138" s="852"/>
      <c r="J138" s="852"/>
      <c r="K138" s="852"/>
      <c r="L138" s="852"/>
      <c r="M138" s="852"/>
      <c r="N138" s="852"/>
      <c r="O138" s="852"/>
      <c r="P138" s="852"/>
      <c r="Q138" s="852"/>
      <c r="R138" s="852"/>
      <c r="S138" s="852"/>
      <c r="T138" s="852"/>
      <c r="U138" s="852"/>
      <c r="V138" s="852"/>
      <c r="W138" s="852"/>
      <c r="X138" s="852"/>
      <c r="Y138" s="852"/>
      <c r="Z138" s="852"/>
      <c r="AA138" s="627"/>
      <c r="AB138"/>
      <c r="AC138" s="625"/>
      <c r="AD138" s="852"/>
      <c r="AE138" s="852"/>
      <c r="AF138" s="852"/>
      <c r="AG138" s="852"/>
      <c r="AH138" s="852"/>
      <c r="AI138" s="852"/>
      <c r="AJ138" s="852"/>
      <c r="AK138" s="852"/>
      <c r="AL138" s="852"/>
      <c r="AM138" s="852"/>
      <c r="AN138" s="852"/>
      <c r="AO138" s="852"/>
      <c r="AP138" s="852"/>
      <c r="AQ138" s="852"/>
      <c r="AR138" s="852"/>
      <c r="AS138" s="852"/>
      <c r="AT138" s="852"/>
      <c r="AU138" s="852"/>
      <c r="AV138" s="852"/>
      <c r="AW138" s="627"/>
      <c r="AY138" s="11"/>
      <c r="BA138"/>
      <c r="BB138"/>
      <c r="BC138"/>
      <c r="BD138"/>
      <c r="BE138"/>
      <c r="BF138"/>
      <c r="BG138"/>
      <c r="BH138"/>
      <c r="BI138" s="12"/>
      <c r="BJ138" s="12"/>
      <c r="BK138" s="12"/>
      <c r="BL138" s="12"/>
      <c r="BM138" s="12"/>
      <c r="BN138" s="12"/>
      <c r="BO138" s="12"/>
      <c r="BP138" s="12"/>
      <c r="BQ138" s="12"/>
      <c r="BR138" s="12"/>
      <c r="BS138" s="12"/>
      <c r="BT138" s="12"/>
      <c r="BU138" s="12"/>
      <c r="BV138" s="12"/>
      <c r="BW138" s="12"/>
      <c r="BX138" s="12"/>
      <c r="BY138" s="12"/>
      <c r="BZ138" s="12"/>
      <c r="CA138" s="12"/>
      <c r="CB138" s="12"/>
      <c r="CC138" s="12"/>
      <c r="CD138" s="12"/>
      <c r="CE138" s="12"/>
      <c r="CF138" s="12"/>
      <c r="CG138" s="12"/>
      <c r="CH138" s="12"/>
      <c r="CI138" s="12"/>
      <c r="CJ138" s="12"/>
      <c r="CK138" s="12"/>
      <c r="CL138" s="12"/>
      <c r="CM138" s="12"/>
      <c r="CN138" s="12"/>
      <c r="CO138" s="12"/>
      <c r="CP138" s="12"/>
      <c r="CQ138" s="12"/>
      <c r="CR138" s="12"/>
      <c r="CS138" s="12"/>
      <c r="CT138" s="12"/>
      <c r="CU138" s="12"/>
      <c r="CV138" s="12"/>
      <c r="CW138" s="12"/>
      <c r="CX138" s="12"/>
      <c r="CY138" s="12"/>
      <c r="CZ138" s="12"/>
      <c r="DA138" s="12"/>
      <c r="DB138" s="12"/>
      <c r="DC138" s="12"/>
      <c r="DD138" s="12"/>
      <c r="DE138" s="12"/>
      <c r="DF138" s="12"/>
      <c r="DG138" s="12"/>
      <c r="DH138" s="12"/>
      <c r="DI138" s="12"/>
      <c r="DJ138" s="12"/>
      <c r="DK138" s="12"/>
      <c r="DL138" s="12"/>
    </row>
    <row r="139" spans="6:116" ht="11.1" customHeight="1" x14ac:dyDescent="0.25">
      <c r="F139" s="54"/>
      <c r="G139" s="625"/>
      <c r="H139" s="852"/>
      <c r="I139" s="852"/>
      <c r="J139" s="852"/>
      <c r="K139" s="852"/>
      <c r="L139" s="852"/>
      <c r="M139" s="852"/>
      <c r="N139" s="852"/>
      <c r="O139" s="852"/>
      <c r="P139" s="852"/>
      <c r="Q139" s="852"/>
      <c r="R139" s="852"/>
      <c r="S139" s="852"/>
      <c r="T139" s="852"/>
      <c r="U139" s="852"/>
      <c r="V139" s="852"/>
      <c r="W139" s="852"/>
      <c r="X139" s="852"/>
      <c r="Y139" s="852"/>
      <c r="Z139" s="852"/>
      <c r="AA139" s="627"/>
      <c r="AB139"/>
      <c r="AC139" s="625"/>
      <c r="AD139" s="852"/>
      <c r="AE139" s="852"/>
      <c r="AF139" s="852"/>
      <c r="AG139" s="852"/>
      <c r="AH139" s="852"/>
      <c r="AI139" s="852"/>
      <c r="AJ139" s="852"/>
      <c r="AK139" s="852"/>
      <c r="AL139" s="852"/>
      <c r="AM139" s="852"/>
      <c r="AN139" s="852"/>
      <c r="AO139" s="852"/>
      <c r="AP139" s="852"/>
      <c r="AQ139" s="852"/>
      <c r="AR139" s="852"/>
      <c r="AS139" s="852"/>
      <c r="AT139" s="852"/>
      <c r="AU139" s="852"/>
      <c r="AV139" s="852"/>
      <c r="AW139" s="627"/>
      <c r="AY139" s="11"/>
      <c r="BA139"/>
      <c r="BB139"/>
      <c r="BC139"/>
      <c r="BD139"/>
      <c r="BE139"/>
      <c r="BF139"/>
      <c r="BG139"/>
      <c r="BH139"/>
      <c r="BI139" s="12"/>
      <c r="BJ139" s="12"/>
      <c r="BK139" s="12"/>
      <c r="BL139" s="12"/>
      <c r="BM139" s="12"/>
      <c r="BN139" s="12"/>
      <c r="BO139" s="12"/>
      <c r="BP139" s="12"/>
      <c r="BQ139" s="12"/>
      <c r="BR139" s="12"/>
      <c r="BS139" s="12"/>
      <c r="BT139" s="12"/>
      <c r="BU139" s="12"/>
      <c r="BV139" s="12"/>
      <c r="BW139" s="12"/>
      <c r="BX139" s="12"/>
      <c r="BY139" s="12"/>
      <c r="BZ139" s="12"/>
      <c r="CA139" s="12"/>
      <c r="CB139" s="12"/>
      <c r="CC139" s="12"/>
      <c r="CD139" s="12"/>
      <c r="CE139" s="12"/>
      <c r="CF139" s="12"/>
      <c r="CG139" s="12"/>
      <c r="CH139" s="12"/>
      <c r="CI139" s="12"/>
      <c r="CJ139" s="12"/>
      <c r="CK139" s="12"/>
      <c r="CL139" s="12"/>
      <c r="CM139" s="12"/>
      <c r="CN139" s="12"/>
      <c r="CO139" s="12"/>
      <c r="CP139" s="12"/>
      <c r="CQ139" s="12"/>
      <c r="CR139" s="12"/>
      <c r="CS139" s="12"/>
      <c r="CT139" s="12"/>
      <c r="CU139" s="12"/>
      <c r="CV139" s="12"/>
      <c r="CW139" s="12"/>
      <c r="CX139" s="12"/>
      <c r="CY139" s="12"/>
      <c r="CZ139" s="12"/>
      <c r="DA139" s="12"/>
      <c r="DB139" s="12"/>
      <c r="DC139" s="12"/>
      <c r="DD139" s="12"/>
      <c r="DE139" s="12"/>
      <c r="DF139" s="12"/>
      <c r="DG139" s="12"/>
      <c r="DH139" s="12"/>
      <c r="DI139" s="12"/>
      <c r="DJ139" s="12"/>
      <c r="DK139" s="12"/>
      <c r="DL139" s="12"/>
    </row>
    <row r="140" spans="6:116" ht="11.1" customHeight="1" x14ac:dyDescent="0.25">
      <c r="F140" s="54"/>
      <c r="G140" s="625"/>
      <c r="H140" s="852"/>
      <c r="I140" s="852"/>
      <c r="J140" s="852"/>
      <c r="K140" s="852"/>
      <c r="L140" s="852"/>
      <c r="M140" s="852"/>
      <c r="N140" s="852"/>
      <c r="O140" s="852"/>
      <c r="P140" s="852"/>
      <c r="Q140" s="852"/>
      <c r="R140" s="852"/>
      <c r="S140" s="852"/>
      <c r="T140" s="852"/>
      <c r="U140" s="852"/>
      <c r="V140" s="852"/>
      <c r="W140" s="852"/>
      <c r="X140" s="852"/>
      <c r="Y140" s="852"/>
      <c r="Z140" s="852"/>
      <c r="AA140" s="627"/>
      <c r="AB140"/>
      <c r="AC140" s="625"/>
      <c r="AD140" s="852"/>
      <c r="AE140" s="852"/>
      <c r="AF140" s="852"/>
      <c r="AG140" s="852"/>
      <c r="AH140" s="852"/>
      <c r="AI140" s="852"/>
      <c r="AJ140" s="852"/>
      <c r="AK140" s="852"/>
      <c r="AL140" s="852"/>
      <c r="AM140" s="852"/>
      <c r="AN140" s="852"/>
      <c r="AO140" s="852"/>
      <c r="AP140" s="852"/>
      <c r="AQ140" s="852"/>
      <c r="AR140" s="852"/>
      <c r="AS140" s="852"/>
      <c r="AT140" s="852"/>
      <c r="AU140" s="852"/>
      <c r="AV140" s="852"/>
      <c r="AW140" s="627"/>
      <c r="AY140" s="11"/>
      <c r="BA140"/>
      <c r="BB140"/>
      <c r="BC140"/>
      <c r="BD140"/>
      <c r="BE140"/>
      <c r="BF140"/>
      <c r="BG140"/>
      <c r="BH140"/>
      <c r="BI140" s="12"/>
      <c r="BJ140" s="12"/>
      <c r="BK140" s="12"/>
      <c r="BL140" s="12"/>
      <c r="BM140" s="12"/>
      <c r="BN140" s="12"/>
      <c r="BO140" s="12"/>
      <c r="BP140" s="12"/>
      <c r="BQ140" s="12"/>
      <c r="BR140" s="12"/>
      <c r="BS140" s="12"/>
      <c r="BT140" s="12"/>
      <c r="BU140" s="12"/>
      <c r="BV140" s="12"/>
      <c r="BW140" s="12"/>
      <c r="BX140" s="12"/>
      <c r="BY140" s="12"/>
      <c r="BZ140" s="12"/>
      <c r="CA140" s="12"/>
      <c r="CB140" s="12"/>
      <c r="CC140" s="12"/>
      <c r="CD140" s="12"/>
      <c r="CE140" s="12"/>
      <c r="CF140" s="12"/>
      <c r="CG140" s="12"/>
      <c r="CH140" s="12"/>
      <c r="CI140" s="12"/>
      <c r="CJ140" s="12"/>
      <c r="CK140" s="12"/>
      <c r="CL140" s="12"/>
      <c r="CM140" s="12"/>
      <c r="CN140" s="12"/>
      <c r="CO140" s="12"/>
      <c r="CP140" s="12"/>
      <c r="CQ140" s="12"/>
      <c r="CR140" s="12"/>
      <c r="CS140" s="12"/>
      <c r="CT140" s="12"/>
      <c r="CU140" s="12"/>
      <c r="CV140" s="12"/>
      <c r="CW140" s="12"/>
      <c r="CX140" s="12"/>
      <c r="CY140" s="12"/>
      <c r="CZ140" s="12"/>
      <c r="DA140" s="12"/>
      <c r="DB140" s="12"/>
      <c r="DC140" s="12"/>
      <c r="DD140" s="12"/>
      <c r="DE140" s="12"/>
      <c r="DF140" s="12"/>
      <c r="DG140" s="12"/>
      <c r="DH140" s="12"/>
      <c r="DI140" s="12"/>
      <c r="DJ140" s="12"/>
      <c r="DK140" s="12"/>
      <c r="DL140" s="12"/>
    </row>
    <row r="141" spans="6:116" ht="11.1" customHeight="1" x14ac:dyDescent="0.25">
      <c r="F141" s="54"/>
      <c r="G141" s="628"/>
      <c r="H141" s="629"/>
      <c r="I141" s="629"/>
      <c r="J141" s="629"/>
      <c r="K141" s="629"/>
      <c r="L141" s="629"/>
      <c r="M141" s="629"/>
      <c r="N141" s="629"/>
      <c r="O141" s="629"/>
      <c r="P141" s="629"/>
      <c r="Q141" s="629"/>
      <c r="R141" s="629"/>
      <c r="S141" s="629"/>
      <c r="T141" s="629"/>
      <c r="U141" s="629"/>
      <c r="V141" s="629"/>
      <c r="W141" s="629"/>
      <c r="X141" s="629"/>
      <c r="Y141" s="629"/>
      <c r="Z141" s="629"/>
      <c r="AA141" s="630"/>
      <c r="AB141"/>
      <c r="AC141" s="628"/>
      <c r="AD141" s="629"/>
      <c r="AE141" s="629"/>
      <c r="AF141" s="629"/>
      <c r="AG141" s="629"/>
      <c r="AH141" s="629"/>
      <c r="AI141" s="629"/>
      <c r="AJ141" s="629"/>
      <c r="AK141" s="629"/>
      <c r="AL141" s="629"/>
      <c r="AM141" s="629"/>
      <c r="AN141" s="629"/>
      <c r="AO141" s="629"/>
      <c r="AP141" s="629"/>
      <c r="AQ141" s="629"/>
      <c r="AR141" s="629"/>
      <c r="AS141" s="629"/>
      <c r="AT141" s="629"/>
      <c r="AU141" s="629"/>
      <c r="AV141" s="629"/>
      <c r="AW141" s="630"/>
      <c r="AY141" s="11"/>
      <c r="BA141"/>
      <c r="BB141"/>
      <c r="BC141"/>
      <c r="BD141"/>
      <c r="BE141"/>
      <c r="BF141"/>
      <c r="BG141"/>
      <c r="BH141"/>
      <c r="BI141" s="12"/>
      <c r="BJ141" s="12"/>
      <c r="BK141" s="12"/>
      <c r="BL141" s="12"/>
      <c r="BM141" s="12"/>
      <c r="BN141" s="12"/>
      <c r="BO141" s="12"/>
      <c r="BP141" s="12"/>
      <c r="BQ141" s="12"/>
      <c r="BR141" s="12"/>
      <c r="BS141" s="12"/>
      <c r="BT141" s="12"/>
      <c r="BU141" s="12"/>
      <c r="BV141" s="12"/>
      <c r="BW141" s="12"/>
      <c r="BX141" s="12"/>
      <c r="BY141" s="12"/>
      <c r="BZ141" s="12"/>
      <c r="CA141" s="12"/>
      <c r="CB141" s="12"/>
      <c r="CC141" s="12"/>
      <c r="CD141" s="12"/>
      <c r="CE141" s="12"/>
      <c r="CF141" s="12"/>
      <c r="CG141" s="12"/>
      <c r="CH141" s="12"/>
      <c r="CI141" s="12"/>
      <c r="CJ141" s="12"/>
      <c r="CK141" s="12"/>
      <c r="CL141" s="12"/>
      <c r="CM141" s="12"/>
      <c r="CN141" s="12"/>
      <c r="CO141" s="12"/>
      <c r="CP141" s="12"/>
      <c r="CQ141" s="12"/>
      <c r="CR141" s="12"/>
      <c r="CS141" s="12"/>
      <c r="CT141" s="12"/>
      <c r="CU141" s="12"/>
      <c r="CV141" s="12"/>
      <c r="CW141" s="12"/>
      <c r="CX141" s="12"/>
      <c r="CY141" s="12"/>
      <c r="CZ141" s="12"/>
      <c r="DA141" s="12"/>
      <c r="DB141" s="12"/>
      <c r="DC141" s="12"/>
      <c r="DD141" s="12"/>
      <c r="DE141" s="12"/>
      <c r="DF141" s="12"/>
      <c r="DG141" s="12"/>
      <c r="DH141" s="12"/>
      <c r="DI141" s="12"/>
      <c r="DJ141" s="12"/>
      <c r="DK141" s="12"/>
      <c r="DL141" s="12"/>
    </row>
    <row r="142" spans="6:116" ht="11.1" customHeight="1" x14ac:dyDescent="0.25">
      <c r="F142" s="54"/>
      <c r="G142" s="191"/>
      <c r="H142" s="193"/>
      <c r="I142" s="193"/>
      <c r="J142" s="193"/>
      <c r="K142" s="193"/>
      <c r="L142" s="193"/>
      <c r="M142" s="193"/>
      <c r="N142" s="193"/>
      <c r="O142" s="193"/>
      <c r="P142" s="193"/>
      <c r="Q142" s="193"/>
      <c r="R142" s="193"/>
      <c r="S142" s="193"/>
      <c r="T142" s="193"/>
      <c r="U142" s="193"/>
      <c r="V142" s="193"/>
      <c r="W142" s="193"/>
      <c r="X142" s="193"/>
      <c r="Y142" s="193"/>
      <c r="Z142" s="193"/>
      <c r="AA142" s="192"/>
      <c r="AB142"/>
      <c r="AC142" s="191"/>
      <c r="AD142" s="193"/>
      <c r="AE142" s="193"/>
      <c r="AF142" s="193"/>
      <c r="AG142" s="193"/>
      <c r="AH142" s="193"/>
      <c r="AI142" s="193"/>
      <c r="AJ142" s="193"/>
      <c r="AK142" s="193"/>
      <c r="AL142" s="193"/>
      <c r="AM142" s="193"/>
      <c r="AN142" s="193"/>
      <c r="AO142" s="193"/>
      <c r="AP142" s="193"/>
      <c r="AQ142" s="193"/>
      <c r="AR142" s="193"/>
      <c r="AS142" s="193"/>
      <c r="AT142" s="193"/>
      <c r="AU142" s="193"/>
      <c r="AV142" s="193"/>
      <c r="AW142" s="192"/>
      <c r="AY142" s="11"/>
      <c r="BA142"/>
      <c r="BB142"/>
      <c r="BC142"/>
      <c r="BD142"/>
      <c r="BE142"/>
      <c r="BF142"/>
      <c r="BG142"/>
      <c r="BH142"/>
      <c r="BI142" s="12"/>
      <c r="BJ142" s="12"/>
      <c r="BK142" s="12"/>
      <c r="BL142" s="12"/>
      <c r="BM142" s="12"/>
      <c r="BN142" s="12"/>
      <c r="BO142" s="12"/>
      <c r="BP142" s="12"/>
      <c r="BQ142" s="12"/>
      <c r="BR142" s="12"/>
      <c r="BS142" s="12"/>
      <c r="BT142" s="12"/>
      <c r="BU142" s="12"/>
      <c r="BV142" s="12"/>
      <c r="BW142" s="12"/>
      <c r="BX142" s="12"/>
      <c r="BY142" s="12"/>
      <c r="BZ142" s="12"/>
      <c r="CA142" s="12"/>
      <c r="CB142" s="12"/>
      <c r="CC142" s="12"/>
      <c r="CD142" s="12"/>
      <c r="CE142" s="12"/>
      <c r="CF142" s="12"/>
      <c r="CG142" s="12"/>
      <c r="CH142" s="12"/>
      <c r="CI142" s="12"/>
      <c r="CJ142" s="12"/>
      <c r="CK142" s="12"/>
      <c r="CL142" s="12"/>
      <c r="CM142" s="12"/>
      <c r="CN142" s="12"/>
      <c r="CO142" s="12"/>
      <c r="CP142" s="12"/>
      <c r="CQ142" s="12"/>
      <c r="CR142" s="12"/>
      <c r="CS142" s="12"/>
      <c r="CT142" s="12"/>
      <c r="CU142" s="12"/>
      <c r="CV142" s="12"/>
      <c r="CW142" s="12"/>
      <c r="CX142" s="12"/>
      <c r="CY142" s="12"/>
      <c r="CZ142" s="12"/>
      <c r="DA142" s="12"/>
      <c r="DB142" s="12"/>
      <c r="DC142" s="12"/>
      <c r="DD142" s="12"/>
      <c r="DE142" s="12"/>
      <c r="DF142" s="12"/>
      <c r="DG142" s="12"/>
      <c r="DH142" s="12"/>
      <c r="DI142" s="12"/>
      <c r="DJ142" s="12"/>
      <c r="DK142" s="12"/>
      <c r="DL142" s="12"/>
    </row>
    <row r="143" spans="6:116" ht="11.1" customHeight="1" x14ac:dyDescent="0.25">
      <c r="F143" s="54"/>
      <c r="G143" s="849" t="s">
        <v>270</v>
      </c>
      <c r="H143" s="850"/>
      <c r="I143" s="850"/>
      <c r="J143" s="850"/>
      <c r="K143" s="850"/>
      <c r="L143" s="850"/>
      <c r="M143" s="850"/>
      <c r="N143" s="850"/>
      <c r="O143" s="850"/>
      <c r="P143" s="850"/>
      <c r="Q143" s="850"/>
      <c r="R143" s="850"/>
      <c r="S143" s="850"/>
      <c r="T143" s="850"/>
      <c r="U143" s="850"/>
      <c r="V143" s="850"/>
      <c r="W143" s="850"/>
      <c r="X143" s="850"/>
      <c r="Y143" s="850"/>
      <c r="Z143" s="850"/>
      <c r="AA143" s="851"/>
      <c r="AB143"/>
      <c r="AC143" s="849" t="s">
        <v>270</v>
      </c>
      <c r="AD143" s="853"/>
      <c r="AE143" s="853"/>
      <c r="AF143" s="853"/>
      <c r="AG143" s="853"/>
      <c r="AH143" s="853"/>
      <c r="AI143" s="853"/>
      <c r="AJ143" s="853"/>
      <c r="AK143" s="853"/>
      <c r="AL143" s="853"/>
      <c r="AM143" s="853"/>
      <c r="AN143" s="853"/>
      <c r="AO143" s="853"/>
      <c r="AP143" s="853"/>
      <c r="AQ143" s="853"/>
      <c r="AR143" s="853"/>
      <c r="AS143" s="853"/>
      <c r="AT143" s="853"/>
      <c r="AU143" s="853"/>
      <c r="AV143" s="853"/>
      <c r="AW143" s="854"/>
      <c r="AY143" s="11"/>
      <c r="BA143"/>
      <c r="BB143"/>
      <c r="BC143"/>
      <c r="BD143"/>
      <c r="BE143"/>
      <c r="BF143"/>
      <c r="BG143"/>
      <c r="BH143"/>
      <c r="BI143" s="12"/>
      <c r="BJ143" s="12"/>
      <c r="BK143" s="12"/>
      <c r="BL143" s="12"/>
      <c r="BM143" s="12"/>
      <c r="BN143" s="12"/>
      <c r="BO143" s="12"/>
      <c r="BP143" s="12"/>
      <c r="BQ143" s="12"/>
      <c r="BR143" s="12"/>
      <c r="BS143" s="12"/>
      <c r="BT143" s="12"/>
      <c r="BU143" s="12"/>
      <c r="BV143" s="12"/>
      <c r="BW143" s="12"/>
      <c r="BX143" s="12"/>
      <c r="BY143" s="12"/>
      <c r="BZ143" s="12"/>
      <c r="CA143" s="12"/>
      <c r="CB143" s="12"/>
      <c r="CC143" s="12"/>
      <c r="CD143" s="12"/>
      <c r="CE143" s="12"/>
      <c r="CF143" s="12"/>
      <c r="CG143" s="12"/>
      <c r="CH143" s="12"/>
      <c r="CI143" s="12"/>
      <c r="CJ143" s="12"/>
      <c r="CK143" s="12"/>
      <c r="CL143" s="12"/>
      <c r="CM143" s="12"/>
      <c r="CN143" s="12"/>
      <c r="CO143" s="12"/>
      <c r="CP143" s="12"/>
      <c r="CQ143" s="12"/>
      <c r="CR143" s="12"/>
      <c r="CS143" s="12"/>
      <c r="CT143" s="12"/>
      <c r="CU143" s="12"/>
      <c r="CV143" s="12"/>
      <c r="CW143" s="12"/>
      <c r="CX143" s="12"/>
      <c r="CY143" s="12"/>
      <c r="CZ143" s="12"/>
      <c r="DA143" s="12"/>
      <c r="DB143" s="12"/>
      <c r="DC143" s="12"/>
      <c r="DD143" s="12"/>
      <c r="DE143" s="12"/>
      <c r="DF143" s="12"/>
      <c r="DG143" s="12"/>
      <c r="DH143" s="12"/>
      <c r="DI143" s="12"/>
      <c r="DJ143" s="12"/>
      <c r="DK143" s="12"/>
      <c r="DL143" s="12"/>
    </row>
    <row r="144" spans="6:116" ht="11.1" customHeight="1" x14ac:dyDescent="0.25">
      <c r="F144" s="54"/>
      <c r="G144" s="625"/>
      <c r="H144" s="852"/>
      <c r="I144" s="852"/>
      <c r="J144" s="852"/>
      <c r="K144" s="852"/>
      <c r="L144" s="852"/>
      <c r="M144" s="852"/>
      <c r="N144" s="852"/>
      <c r="O144" s="852"/>
      <c r="P144" s="852"/>
      <c r="Q144" s="852"/>
      <c r="R144" s="852"/>
      <c r="S144" s="852"/>
      <c r="T144" s="852"/>
      <c r="U144" s="852"/>
      <c r="V144" s="852"/>
      <c r="W144" s="852"/>
      <c r="X144" s="852"/>
      <c r="Y144" s="852"/>
      <c r="Z144" s="852"/>
      <c r="AA144" s="627"/>
      <c r="AB144"/>
      <c r="AC144" s="855"/>
      <c r="AD144" s="856"/>
      <c r="AE144" s="856"/>
      <c r="AF144" s="856"/>
      <c r="AG144" s="856"/>
      <c r="AH144" s="856"/>
      <c r="AI144" s="856"/>
      <c r="AJ144" s="856"/>
      <c r="AK144" s="856"/>
      <c r="AL144" s="856"/>
      <c r="AM144" s="856"/>
      <c r="AN144" s="856"/>
      <c r="AO144" s="856"/>
      <c r="AP144" s="856"/>
      <c r="AQ144" s="856"/>
      <c r="AR144" s="856"/>
      <c r="AS144" s="856"/>
      <c r="AT144" s="856"/>
      <c r="AU144" s="856"/>
      <c r="AV144" s="856"/>
      <c r="AW144" s="857"/>
      <c r="AY144" s="11"/>
      <c r="BA144"/>
      <c r="BB144"/>
      <c r="BC144"/>
      <c r="BD144"/>
      <c r="BE144"/>
      <c r="BF144"/>
      <c r="BG144"/>
      <c r="BH144"/>
      <c r="BI144" s="12"/>
      <c r="BJ144" s="12"/>
      <c r="BK144" s="12"/>
      <c r="BL144" s="12"/>
      <c r="BM144" s="12"/>
      <c r="BN144" s="12"/>
      <c r="BO144" s="12"/>
      <c r="BP144" s="12"/>
      <c r="BQ144" s="12"/>
      <c r="BR144" s="12"/>
      <c r="BS144" s="12"/>
      <c r="BT144" s="12"/>
      <c r="BU144" s="12"/>
      <c r="BV144" s="12"/>
      <c r="BW144" s="12"/>
      <c r="BX144" s="12"/>
      <c r="BY144" s="12"/>
      <c r="BZ144" s="12"/>
      <c r="CA144" s="12"/>
      <c r="CB144" s="12"/>
      <c r="CC144" s="12"/>
      <c r="CD144" s="12"/>
      <c r="CE144" s="12"/>
      <c r="CF144" s="12"/>
      <c r="CG144" s="12"/>
      <c r="CH144" s="12"/>
      <c r="CI144" s="12"/>
      <c r="CJ144" s="12"/>
      <c r="CK144" s="12"/>
      <c r="CL144" s="12"/>
      <c r="CM144" s="12"/>
      <c r="CN144" s="12"/>
      <c r="CO144" s="12"/>
      <c r="CP144" s="12"/>
      <c r="CQ144" s="12"/>
      <c r="CR144" s="12"/>
      <c r="CS144" s="12"/>
      <c r="CT144" s="12"/>
      <c r="CU144" s="12"/>
      <c r="CV144" s="12"/>
      <c r="CW144" s="12"/>
      <c r="CX144" s="12"/>
      <c r="CY144" s="12"/>
      <c r="CZ144" s="12"/>
      <c r="DA144" s="12"/>
      <c r="DB144" s="12"/>
      <c r="DC144" s="12"/>
      <c r="DD144" s="12"/>
      <c r="DE144" s="12"/>
      <c r="DF144" s="12"/>
      <c r="DG144" s="12"/>
      <c r="DH144" s="12"/>
      <c r="DI144" s="12"/>
      <c r="DJ144" s="12"/>
      <c r="DK144" s="12"/>
      <c r="DL144" s="12"/>
    </row>
    <row r="145" spans="5:116" ht="11.1" customHeight="1" x14ac:dyDescent="0.25">
      <c r="F145" s="54"/>
      <c r="G145" s="625"/>
      <c r="H145" s="852"/>
      <c r="I145" s="852"/>
      <c r="J145" s="852"/>
      <c r="K145" s="852"/>
      <c r="L145" s="852"/>
      <c r="M145" s="852"/>
      <c r="N145" s="852"/>
      <c r="O145" s="852"/>
      <c r="P145" s="852"/>
      <c r="Q145" s="852"/>
      <c r="R145" s="852"/>
      <c r="S145" s="852"/>
      <c r="T145" s="852"/>
      <c r="U145" s="852"/>
      <c r="V145" s="852"/>
      <c r="W145" s="852"/>
      <c r="X145" s="852"/>
      <c r="Y145" s="852"/>
      <c r="Z145" s="852"/>
      <c r="AA145" s="627"/>
      <c r="AB145"/>
      <c r="AC145" s="855"/>
      <c r="AD145" s="856"/>
      <c r="AE145" s="856"/>
      <c r="AF145" s="856"/>
      <c r="AG145" s="856"/>
      <c r="AH145" s="856"/>
      <c r="AI145" s="856"/>
      <c r="AJ145" s="856"/>
      <c r="AK145" s="856"/>
      <c r="AL145" s="856"/>
      <c r="AM145" s="856"/>
      <c r="AN145" s="856"/>
      <c r="AO145" s="856"/>
      <c r="AP145" s="856"/>
      <c r="AQ145" s="856"/>
      <c r="AR145" s="856"/>
      <c r="AS145" s="856"/>
      <c r="AT145" s="856"/>
      <c r="AU145" s="856"/>
      <c r="AV145" s="856"/>
      <c r="AW145" s="857"/>
      <c r="AY145" s="11"/>
      <c r="BA145"/>
      <c r="BB145"/>
      <c r="BC145"/>
      <c r="BD145"/>
      <c r="BE145"/>
      <c r="BF145"/>
      <c r="BG145"/>
      <c r="BH145"/>
      <c r="BI145" s="12"/>
      <c r="BJ145" s="12"/>
      <c r="BK145" s="12"/>
      <c r="BL145" s="12"/>
      <c r="BM145" s="12"/>
      <c r="BN145" s="12"/>
      <c r="BO145" s="12"/>
      <c r="BP145" s="12"/>
      <c r="BQ145" s="12"/>
      <c r="BR145" s="12"/>
      <c r="BS145" s="12"/>
      <c r="BT145" s="12"/>
      <c r="BU145" s="12"/>
      <c r="BV145" s="12"/>
      <c r="BW145" s="12"/>
      <c r="BX145" s="12"/>
      <c r="BY145" s="12"/>
      <c r="BZ145" s="12"/>
      <c r="CA145" s="12"/>
      <c r="CB145" s="12"/>
      <c r="CC145" s="12"/>
      <c r="CD145" s="12"/>
      <c r="CE145" s="12"/>
      <c r="CF145" s="12"/>
      <c r="CG145" s="12"/>
      <c r="CH145" s="12"/>
      <c r="CI145" s="12"/>
      <c r="CJ145" s="12"/>
      <c r="CK145" s="12"/>
      <c r="CL145" s="12"/>
      <c r="CM145" s="12"/>
      <c r="CN145" s="12"/>
      <c r="CO145" s="12"/>
      <c r="CP145" s="12"/>
      <c r="CQ145" s="12"/>
      <c r="CR145" s="12"/>
      <c r="CS145" s="12"/>
      <c r="CT145" s="12"/>
      <c r="CU145" s="12"/>
      <c r="CV145" s="12"/>
      <c r="CW145" s="12"/>
      <c r="CX145" s="12"/>
      <c r="CY145" s="12"/>
      <c r="CZ145" s="12"/>
      <c r="DA145" s="12"/>
      <c r="DB145" s="12"/>
      <c r="DC145" s="12"/>
      <c r="DD145" s="12"/>
      <c r="DE145" s="12"/>
      <c r="DF145" s="12"/>
      <c r="DG145" s="12"/>
      <c r="DH145" s="12"/>
      <c r="DI145" s="12"/>
      <c r="DJ145" s="12"/>
      <c r="DK145" s="12"/>
      <c r="DL145" s="12"/>
    </row>
    <row r="146" spans="5:116" ht="11.1" customHeight="1" x14ac:dyDescent="0.25">
      <c r="F146" s="54"/>
      <c r="G146" s="625"/>
      <c r="H146" s="852"/>
      <c r="I146" s="852"/>
      <c r="J146" s="852"/>
      <c r="K146" s="852"/>
      <c r="L146" s="852"/>
      <c r="M146" s="852"/>
      <c r="N146" s="852"/>
      <c r="O146" s="852"/>
      <c r="P146" s="852"/>
      <c r="Q146" s="852"/>
      <c r="R146" s="852"/>
      <c r="S146" s="852"/>
      <c r="T146" s="852"/>
      <c r="U146" s="852"/>
      <c r="V146" s="852"/>
      <c r="W146" s="852"/>
      <c r="X146" s="852"/>
      <c r="Y146" s="852"/>
      <c r="Z146" s="852"/>
      <c r="AA146" s="627"/>
      <c r="AB146"/>
      <c r="AC146" s="855"/>
      <c r="AD146" s="856"/>
      <c r="AE146" s="856"/>
      <c r="AF146" s="856"/>
      <c r="AG146" s="856"/>
      <c r="AH146" s="856"/>
      <c r="AI146" s="856"/>
      <c r="AJ146" s="856"/>
      <c r="AK146" s="856"/>
      <c r="AL146" s="856"/>
      <c r="AM146" s="856"/>
      <c r="AN146" s="856"/>
      <c r="AO146" s="856"/>
      <c r="AP146" s="856"/>
      <c r="AQ146" s="856"/>
      <c r="AR146" s="856"/>
      <c r="AS146" s="856"/>
      <c r="AT146" s="856"/>
      <c r="AU146" s="856"/>
      <c r="AV146" s="856"/>
      <c r="AW146" s="857"/>
      <c r="AY146" s="11"/>
      <c r="BA146"/>
      <c r="BB146"/>
      <c r="BC146"/>
      <c r="BD146"/>
      <c r="BE146"/>
      <c r="BF146"/>
      <c r="BG146"/>
      <c r="BH146"/>
      <c r="BI146" s="12"/>
      <c r="BJ146" s="12"/>
      <c r="BK146" s="12"/>
      <c r="BL146" s="12"/>
      <c r="BM146" s="12"/>
      <c r="BN146" s="12"/>
      <c r="BO146" s="12"/>
      <c r="BP146" s="12"/>
      <c r="BQ146" s="12"/>
      <c r="BR146" s="12"/>
      <c r="BS146" s="12"/>
      <c r="BT146" s="12"/>
      <c r="BU146" s="12"/>
      <c r="BV146" s="12"/>
      <c r="BW146" s="12"/>
      <c r="BX146" s="12"/>
      <c r="BY146" s="12"/>
      <c r="BZ146" s="12"/>
      <c r="CA146" s="12"/>
      <c r="CB146" s="12"/>
      <c r="CC146" s="12"/>
      <c r="CD146" s="12"/>
      <c r="CE146" s="12"/>
      <c r="CF146" s="12"/>
      <c r="CG146" s="12"/>
      <c r="CH146" s="12"/>
      <c r="CI146" s="12"/>
      <c r="CJ146" s="12"/>
      <c r="CK146" s="12"/>
      <c r="CL146" s="12"/>
      <c r="CM146" s="12"/>
      <c r="CN146" s="12"/>
      <c r="CO146" s="12"/>
      <c r="CP146" s="12"/>
      <c r="CQ146" s="12"/>
      <c r="CR146" s="12"/>
      <c r="CS146" s="12"/>
      <c r="CT146" s="12"/>
      <c r="CU146" s="12"/>
      <c r="CV146" s="12"/>
      <c r="CW146" s="12"/>
      <c r="CX146" s="12"/>
      <c r="CY146" s="12"/>
      <c r="CZ146" s="12"/>
      <c r="DA146" s="12"/>
      <c r="DB146" s="12"/>
      <c r="DC146" s="12"/>
      <c r="DD146" s="12"/>
      <c r="DE146" s="12"/>
      <c r="DF146" s="12"/>
      <c r="DG146" s="12"/>
      <c r="DH146" s="12"/>
      <c r="DI146" s="12"/>
      <c r="DJ146" s="12"/>
      <c r="DK146" s="12"/>
      <c r="DL146" s="12"/>
    </row>
    <row r="147" spans="5:116" ht="11.1" customHeight="1" x14ac:dyDescent="0.25">
      <c r="F147" s="54"/>
      <c r="G147" s="625"/>
      <c r="H147" s="852"/>
      <c r="I147" s="852"/>
      <c r="J147" s="852"/>
      <c r="K147" s="852"/>
      <c r="L147" s="852"/>
      <c r="M147" s="852"/>
      <c r="N147" s="852"/>
      <c r="O147" s="852"/>
      <c r="P147" s="852"/>
      <c r="Q147" s="852"/>
      <c r="R147" s="852"/>
      <c r="S147" s="852"/>
      <c r="T147" s="852"/>
      <c r="U147" s="852"/>
      <c r="V147" s="852"/>
      <c r="W147" s="852"/>
      <c r="X147" s="852"/>
      <c r="Y147" s="852"/>
      <c r="Z147" s="852"/>
      <c r="AA147" s="627"/>
      <c r="AB147"/>
      <c r="AC147" s="855"/>
      <c r="AD147" s="856"/>
      <c r="AE147" s="856"/>
      <c r="AF147" s="856"/>
      <c r="AG147" s="856"/>
      <c r="AH147" s="856"/>
      <c r="AI147" s="856"/>
      <c r="AJ147" s="856"/>
      <c r="AK147" s="856"/>
      <c r="AL147" s="856"/>
      <c r="AM147" s="856"/>
      <c r="AN147" s="856"/>
      <c r="AO147" s="856"/>
      <c r="AP147" s="856"/>
      <c r="AQ147" s="856"/>
      <c r="AR147" s="856"/>
      <c r="AS147" s="856"/>
      <c r="AT147" s="856"/>
      <c r="AU147" s="856"/>
      <c r="AV147" s="856"/>
      <c r="AW147" s="857"/>
      <c r="AY147" s="11"/>
      <c r="BA147"/>
      <c r="BB147"/>
      <c r="BC147"/>
      <c r="BD147"/>
      <c r="BE147"/>
      <c r="BF147"/>
      <c r="BG147"/>
      <c r="BH147"/>
      <c r="BI147" s="12"/>
      <c r="BJ147" s="12"/>
      <c r="BK147" s="12"/>
      <c r="BL147" s="12"/>
      <c r="BM147" s="12"/>
      <c r="BN147" s="12"/>
      <c r="BO147" s="12"/>
      <c r="BP147" s="12"/>
      <c r="BQ147" s="12"/>
      <c r="BR147" s="12"/>
      <c r="BS147" s="12"/>
      <c r="BT147" s="12"/>
      <c r="BU147" s="12"/>
      <c r="BV147" s="12"/>
      <c r="BW147" s="12"/>
      <c r="BX147" s="12"/>
      <c r="BY147" s="12"/>
      <c r="BZ147" s="12"/>
      <c r="CA147" s="12"/>
      <c r="CB147" s="12"/>
      <c r="CC147" s="12"/>
      <c r="CD147" s="12"/>
      <c r="CE147" s="12"/>
      <c r="CF147" s="12"/>
      <c r="CG147" s="12"/>
      <c r="CH147" s="12"/>
      <c r="CI147" s="12"/>
      <c r="CJ147" s="12"/>
      <c r="CK147" s="12"/>
      <c r="CL147" s="12"/>
      <c r="CM147" s="12"/>
      <c r="CN147" s="12"/>
      <c r="CO147" s="12"/>
      <c r="CP147" s="12"/>
      <c r="CQ147" s="12"/>
      <c r="CR147" s="12"/>
      <c r="CS147" s="12"/>
      <c r="CT147" s="12"/>
      <c r="CU147" s="12"/>
      <c r="CV147" s="12"/>
      <c r="CW147" s="12"/>
      <c r="CX147" s="12"/>
      <c r="CY147" s="12"/>
      <c r="CZ147" s="12"/>
      <c r="DA147" s="12"/>
      <c r="DB147" s="12"/>
      <c r="DC147" s="12"/>
      <c r="DD147" s="12"/>
      <c r="DE147" s="12"/>
      <c r="DF147" s="12"/>
      <c r="DG147" s="12"/>
      <c r="DH147" s="12"/>
      <c r="DI147" s="12"/>
      <c r="DJ147" s="12"/>
      <c r="DK147" s="12"/>
      <c r="DL147" s="12"/>
    </row>
    <row r="148" spans="5:116" ht="11.1" customHeight="1" x14ac:dyDescent="0.25">
      <c r="F148" s="54"/>
      <c r="G148" s="625"/>
      <c r="H148" s="852"/>
      <c r="I148" s="852"/>
      <c r="J148" s="852"/>
      <c r="K148" s="852"/>
      <c r="L148" s="852"/>
      <c r="M148" s="852"/>
      <c r="N148" s="852"/>
      <c r="O148" s="852"/>
      <c r="P148" s="852"/>
      <c r="Q148" s="852"/>
      <c r="R148" s="852"/>
      <c r="S148" s="852"/>
      <c r="T148" s="852"/>
      <c r="U148" s="852"/>
      <c r="V148" s="852"/>
      <c r="W148" s="852"/>
      <c r="X148" s="852"/>
      <c r="Y148" s="852"/>
      <c r="Z148" s="852"/>
      <c r="AA148" s="627"/>
      <c r="AB148"/>
      <c r="AC148" s="855"/>
      <c r="AD148" s="856"/>
      <c r="AE148" s="856"/>
      <c r="AF148" s="856"/>
      <c r="AG148" s="856"/>
      <c r="AH148" s="856"/>
      <c r="AI148" s="856"/>
      <c r="AJ148" s="856"/>
      <c r="AK148" s="856"/>
      <c r="AL148" s="856"/>
      <c r="AM148" s="856"/>
      <c r="AN148" s="856"/>
      <c r="AO148" s="856"/>
      <c r="AP148" s="856"/>
      <c r="AQ148" s="856"/>
      <c r="AR148" s="856"/>
      <c r="AS148" s="856"/>
      <c r="AT148" s="856"/>
      <c r="AU148" s="856"/>
      <c r="AV148" s="856"/>
      <c r="AW148" s="857"/>
      <c r="AY148" s="11"/>
      <c r="BA148"/>
      <c r="BB148"/>
      <c r="BC148"/>
      <c r="BD148"/>
      <c r="BE148"/>
      <c r="BF148"/>
      <c r="BG148"/>
      <c r="BH148"/>
      <c r="BI148" s="12"/>
      <c r="BJ148" s="12"/>
      <c r="BK148" s="12"/>
      <c r="BL148" s="12"/>
      <c r="BM148" s="12"/>
      <c r="BN148" s="12"/>
      <c r="BO148" s="12"/>
      <c r="BP148" s="12"/>
      <c r="BQ148" s="12"/>
      <c r="BR148" s="12"/>
      <c r="BS148" s="12"/>
      <c r="BT148" s="12"/>
      <c r="BU148" s="12"/>
      <c r="BV148" s="12"/>
      <c r="BW148" s="12"/>
      <c r="BX148" s="12"/>
      <c r="BY148" s="12"/>
      <c r="BZ148" s="12"/>
      <c r="CA148" s="12"/>
      <c r="CB148" s="12"/>
      <c r="CC148" s="12"/>
      <c r="CD148" s="12"/>
      <c r="CE148" s="12"/>
      <c r="CF148" s="12"/>
      <c r="CG148" s="12"/>
      <c r="CH148" s="12"/>
      <c r="CI148" s="12"/>
      <c r="CJ148" s="12"/>
      <c r="CK148" s="12"/>
      <c r="CL148" s="12"/>
      <c r="CM148" s="12"/>
      <c r="CN148" s="12"/>
      <c r="CO148" s="12"/>
      <c r="CP148" s="12"/>
      <c r="CQ148" s="12"/>
      <c r="CR148" s="12"/>
      <c r="CS148" s="12"/>
      <c r="CT148" s="12"/>
      <c r="CU148" s="12"/>
      <c r="CV148" s="12"/>
      <c r="CW148" s="12"/>
      <c r="CX148" s="12"/>
      <c r="CY148" s="12"/>
      <c r="CZ148" s="12"/>
      <c r="DA148" s="12"/>
      <c r="DB148" s="12"/>
      <c r="DC148" s="12"/>
      <c r="DD148" s="12"/>
      <c r="DE148" s="12"/>
      <c r="DF148" s="12"/>
      <c r="DG148" s="12"/>
      <c r="DH148" s="12"/>
      <c r="DI148" s="12"/>
      <c r="DJ148" s="12"/>
      <c r="DK148" s="12"/>
      <c r="DL148" s="12"/>
    </row>
    <row r="149" spans="5:116" ht="11.1" customHeight="1" x14ac:dyDescent="0.25">
      <c r="F149" s="54"/>
      <c r="G149" s="625"/>
      <c r="H149" s="852"/>
      <c r="I149" s="852"/>
      <c r="J149" s="852"/>
      <c r="K149" s="852"/>
      <c r="L149" s="852"/>
      <c r="M149" s="852"/>
      <c r="N149" s="852"/>
      <c r="O149" s="852"/>
      <c r="P149" s="852"/>
      <c r="Q149" s="852"/>
      <c r="R149" s="852"/>
      <c r="S149" s="852"/>
      <c r="T149" s="852"/>
      <c r="U149" s="852"/>
      <c r="V149" s="852"/>
      <c r="W149" s="852"/>
      <c r="X149" s="852"/>
      <c r="Y149" s="852"/>
      <c r="Z149" s="852"/>
      <c r="AA149" s="627"/>
      <c r="AB149"/>
      <c r="AC149" s="855"/>
      <c r="AD149" s="856"/>
      <c r="AE149" s="856"/>
      <c r="AF149" s="856"/>
      <c r="AG149" s="856"/>
      <c r="AH149" s="856"/>
      <c r="AI149" s="856"/>
      <c r="AJ149" s="856"/>
      <c r="AK149" s="856"/>
      <c r="AL149" s="856"/>
      <c r="AM149" s="856"/>
      <c r="AN149" s="856"/>
      <c r="AO149" s="856"/>
      <c r="AP149" s="856"/>
      <c r="AQ149" s="856"/>
      <c r="AR149" s="856"/>
      <c r="AS149" s="856"/>
      <c r="AT149" s="856"/>
      <c r="AU149" s="856"/>
      <c r="AV149" s="856"/>
      <c r="AW149" s="857"/>
      <c r="AY149" s="11"/>
      <c r="BA149"/>
      <c r="BB149"/>
      <c r="BC149"/>
      <c r="BD149"/>
      <c r="BE149"/>
      <c r="BF149"/>
      <c r="BG149"/>
      <c r="BH149"/>
      <c r="BI149" s="12"/>
      <c r="BJ149" s="12"/>
      <c r="BK149" s="12"/>
      <c r="BL149" s="12"/>
      <c r="BM149" s="12"/>
      <c r="BN149" s="12"/>
      <c r="BO149" s="12"/>
      <c r="BP149" s="12"/>
      <c r="BQ149" s="12"/>
      <c r="BR149" s="12"/>
      <c r="BS149" s="12"/>
      <c r="BT149" s="12"/>
      <c r="BU149" s="12"/>
      <c r="BV149" s="12"/>
      <c r="BW149" s="12"/>
      <c r="BX149" s="12"/>
      <c r="BY149" s="12"/>
      <c r="BZ149" s="12"/>
      <c r="CA149" s="12"/>
      <c r="CB149" s="12"/>
      <c r="CC149" s="12"/>
      <c r="CD149" s="12"/>
      <c r="CE149" s="12"/>
      <c r="CF149" s="12"/>
      <c r="CG149" s="12"/>
      <c r="CH149" s="12"/>
      <c r="CI149" s="12"/>
      <c r="CJ149" s="12"/>
      <c r="CK149" s="12"/>
      <c r="CL149" s="12"/>
      <c r="CM149" s="12"/>
      <c r="CN149" s="12"/>
      <c r="CO149" s="12"/>
      <c r="CP149" s="12"/>
      <c r="CQ149" s="12"/>
      <c r="CR149" s="12"/>
      <c r="CS149" s="12"/>
      <c r="CT149" s="12"/>
      <c r="CU149" s="12"/>
      <c r="CV149" s="12"/>
      <c r="CW149" s="12"/>
      <c r="CX149" s="12"/>
      <c r="CY149" s="12"/>
      <c r="CZ149" s="12"/>
      <c r="DA149" s="12"/>
      <c r="DB149" s="12"/>
      <c r="DC149" s="12"/>
      <c r="DD149" s="12"/>
      <c r="DE149" s="12"/>
      <c r="DF149" s="12"/>
      <c r="DG149" s="12"/>
      <c r="DH149" s="12"/>
      <c r="DI149" s="12"/>
      <c r="DJ149" s="12"/>
      <c r="DK149" s="12"/>
      <c r="DL149" s="12"/>
    </row>
    <row r="150" spans="5:116" ht="11.1" customHeight="1" x14ac:dyDescent="0.25">
      <c r="F150" s="54"/>
      <c r="G150" s="625"/>
      <c r="H150" s="852"/>
      <c r="I150" s="852"/>
      <c r="J150" s="852"/>
      <c r="K150" s="852"/>
      <c r="L150" s="852"/>
      <c r="M150" s="852"/>
      <c r="N150" s="852"/>
      <c r="O150" s="852"/>
      <c r="P150" s="852"/>
      <c r="Q150" s="852"/>
      <c r="R150" s="852"/>
      <c r="S150" s="852"/>
      <c r="T150" s="852"/>
      <c r="U150" s="852"/>
      <c r="V150" s="852"/>
      <c r="W150" s="852"/>
      <c r="X150" s="852"/>
      <c r="Y150" s="852"/>
      <c r="Z150" s="852"/>
      <c r="AA150" s="627"/>
      <c r="AB150"/>
      <c r="AC150" s="855"/>
      <c r="AD150" s="856"/>
      <c r="AE150" s="856"/>
      <c r="AF150" s="856"/>
      <c r="AG150" s="856"/>
      <c r="AH150" s="856"/>
      <c r="AI150" s="856"/>
      <c r="AJ150" s="856"/>
      <c r="AK150" s="856"/>
      <c r="AL150" s="856"/>
      <c r="AM150" s="856"/>
      <c r="AN150" s="856"/>
      <c r="AO150" s="856"/>
      <c r="AP150" s="856"/>
      <c r="AQ150" s="856"/>
      <c r="AR150" s="856"/>
      <c r="AS150" s="856"/>
      <c r="AT150" s="856"/>
      <c r="AU150" s="856"/>
      <c r="AV150" s="856"/>
      <c r="AW150" s="857"/>
      <c r="AY150" s="11"/>
      <c r="BA150"/>
      <c r="BB150"/>
      <c r="BC150"/>
      <c r="BD150"/>
      <c r="BE150"/>
      <c r="BF150"/>
      <c r="BG150"/>
      <c r="BH150"/>
      <c r="BI150" s="12"/>
      <c r="BJ150" s="12"/>
      <c r="BK150" s="12"/>
      <c r="BL150" s="12"/>
      <c r="BM150" s="12"/>
      <c r="BN150" s="12"/>
      <c r="BO150" s="12"/>
      <c r="BP150" s="12"/>
      <c r="BQ150" s="12"/>
      <c r="BR150" s="12"/>
      <c r="BS150" s="12"/>
      <c r="BT150" s="12"/>
      <c r="BU150" s="12"/>
      <c r="BV150" s="12"/>
      <c r="BW150" s="12"/>
      <c r="BX150" s="12"/>
      <c r="BY150" s="12"/>
      <c r="BZ150" s="12"/>
      <c r="CA150" s="12"/>
      <c r="CB150" s="12"/>
      <c r="CC150" s="12"/>
      <c r="CD150" s="12"/>
      <c r="CE150" s="12"/>
      <c r="CF150" s="12"/>
      <c r="CG150" s="12"/>
      <c r="CH150" s="12"/>
      <c r="CI150" s="12"/>
      <c r="CJ150" s="12"/>
      <c r="CK150" s="12"/>
      <c r="CL150" s="12"/>
      <c r="CM150" s="12"/>
      <c r="CN150" s="12"/>
      <c r="CO150" s="12"/>
      <c r="CP150" s="12"/>
      <c r="CQ150" s="12"/>
      <c r="CR150" s="12"/>
      <c r="CS150" s="12"/>
      <c r="CT150" s="12"/>
      <c r="CU150" s="12"/>
      <c r="CV150" s="12"/>
      <c r="CW150" s="12"/>
      <c r="CX150" s="12"/>
      <c r="CY150" s="12"/>
      <c r="CZ150" s="12"/>
      <c r="DA150" s="12"/>
      <c r="DB150" s="12"/>
      <c r="DC150" s="12"/>
      <c r="DD150" s="12"/>
      <c r="DE150" s="12"/>
      <c r="DF150" s="12"/>
      <c r="DG150" s="12"/>
      <c r="DH150" s="12"/>
      <c r="DI150" s="12"/>
      <c r="DJ150" s="12"/>
      <c r="DK150" s="12"/>
      <c r="DL150" s="12"/>
    </row>
    <row r="151" spans="5:116" ht="11.1" customHeight="1" x14ac:dyDescent="0.25">
      <c r="F151" s="54"/>
      <c r="G151" s="625"/>
      <c r="H151" s="852"/>
      <c r="I151" s="852"/>
      <c r="J151" s="852"/>
      <c r="K151" s="852"/>
      <c r="L151" s="852"/>
      <c r="M151" s="852"/>
      <c r="N151" s="852"/>
      <c r="O151" s="852"/>
      <c r="P151" s="852"/>
      <c r="Q151" s="852"/>
      <c r="R151" s="852"/>
      <c r="S151" s="852"/>
      <c r="T151" s="852"/>
      <c r="U151" s="852"/>
      <c r="V151" s="852"/>
      <c r="W151" s="852"/>
      <c r="X151" s="852"/>
      <c r="Y151" s="852"/>
      <c r="Z151" s="852"/>
      <c r="AA151" s="627"/>
      <c r="AB151"/>
      <c r="AC151" s="855"/>
      <c r="AD151" s="856"/>
      <c r="AE151" s="856"/>
      <c r="AF151" s="856"/>
      <c r="AG151" s="856"/>
      <c r="AH151" s="856"/>
      <c r="AI151" s="856"/>
      <c r="AJ151" s="856"/>
      <c r="AK151" s="856"/>
      <c r="AL151" s="856"/>
      <c r="AM151" s="856"/>
      <c r="AN151" s="856"/>
      <c r="AO151" s="856"/>
      <c r="AP151" s="856"/>
      <c r="AQ151" s="856"/>
      <c r="AR151" s="856"/>
      <c r="AS151" s="856"/>
      <c r="AT151" s="856"/>
      <c r="AU151" s="856"/>
      <c r="AV151" s="856"/>
      <c r="AW151" s="857"/>
      <c r="AY151" s="11"/>
      <c r="BA151"/>
      <c r="BB151"/>
      <c r="BC151"/>
      <c r="BD151"/>
      <c r="BE151"/>
      <c r="BF151"/>
      <c r="BG151"/>
      <c r="BH151"/>
      <c r="BI151" s="12"/>
      <c r="BJ151" s="12"/>
      <c r="BK151" s="12"/>
      <c r="BL151" s="12"/>
      <c r="BM151" s="12"/>
      <c r="BN151" s="12"/>
      <c r="BO151" s="12"/>
      <c r="BP151" s="12"/>
      <c r="BQ151" s="12"/>
      <c r="BR151" s="12"/>
      <c r="BS151" s="12"/>
      <c r="BT151" s="12"/>
      <c r="BU151" s="12"/>
      <c r="BV151" s="12"/>
      <c r="BW151" s="12"/>
      <c r="BX151" s="12"/>
      <c r="BY151" s="12"/>
      <c r="BZ151" s="12"/>
      <c r="CA151" s="12"/>
      <c r="CB151" s="12"/>
      <c r="CC151" s="12"/>
      <c r="CD151" s="12"/>
      <c r="CE151" s="12"/>
      <c r="CF151" s="12"/>
      <c r="CG151" s="12"/>
      <c r="CH151" s="12"/>
      <c r="CI151" s="12"/>
      <c r="CJ151" s="12"/>
      <c r="CK151" s="12"/>
      <c r="CL151" s="12"/>
      <c r="CM151" s="12"/>
      <c r="CN151" s="12"/>
      <c r="CO151" s="12"/>
      <c r="CP151" s="12"/>
      <c r="CQ151" s="12"/>
      <c r="CR151" s="12"/>
      <c r="CS151" s="12"/>
      <c r="CT151" s="12"/>
      <c r="CU151" s="12"/>
      <c r="CV151" s="12"/>
      <c r="CW151" s="12"/>
      <c r="CX151" s="12"/>
      <c r="CY151" s="12"/>
      <c r="CZ151" s="12"/>
      <c r="DA151" s="12"/>
      <c r="DB151" s="12"/>
      <c r="DC151" s="12"/>
      <c r="DD151" s="12"/>
      <c r="DE151" s="12"/>
      <c r="DF151" s="12"/>
      <c r="DG151" s="12"/>
      <c r="DH151" s="12"/>
      <c r="DI151" s="12"/>
      <c r="DJ151" s="12"/>
      <c r="DK151" s="12"/>
      <c r="DL151" s="12"/>
    </row>
    <row r="152" spans="5:116" ht="11.1" customHeight="1" x14ac:dyDescent="0.25">
      <c r="F152" s="54"/>
      <c r="G152" s="625"/>
      <c r="H152" s="852"/>
      <c r="I152" s="852"/>
      <c r="J152" s="852"/>
      <c r="K152" s="852"/>
      <c r="L152" s="852"/>
      <c r="M152" s="852"/>
      <c r="N152" s="852"/>
      <c r="O152" s="852"/>
      <c r="P152" s="852"/>
      <c r="Q152" s="852"/>
      <c r="R152" s="852"/>
      <c r="S152" s="852"/>
      <c r="T152" s="852"/>
      <c r="U152" s="852"/>
      <c r="V152" s="852"/>
      <c r="W152" s="852"/>
      <c r="X152" s="852"/>
      <c r="Y152" s="852"/>
      <c r="Z152" s="852"/>
      <c r="AA152" s="627"/>
      <c r="AB152"/>
      <c r="AC152" s="855"/>
      <c r="AD152" s="856"/>
      <c r="AE152" s="856"/>
      <c r="AF152" s="856"/>
      <c r="AG152" s="856"/>
      <c r="AH152" s="856"/>
      <c r="AI152" s="856"/>
      <c r="AJ152" s="856"/>
      <c r="AK152" s="856"/>
      <c r="AL152" s="856"/>
      <c r="AM152" s="856"/>
      <c r="AN152" s="856"/>
      <c r="AO152" s="856"/>
      <c r="AP152" s="856"/>
      <c r="AQ152" s="856"/>
      <c r="AR152" s="856"/>
      <c r="AS152" s="856"/>
      <c r="AT152" s="856"/>
      <c r="AU152" s="856"/>
      <c r="AV152" s="856"/>
      <c r="AW152" s="857"/>
      <c r="AY152" s="11"/>
      <c r="BA152"/>
      <c r="BB152"/>
      <c r="BC152"/>
      <c r="BD152"/>
      <c r="BE152"/>
      <c r="BF152"/>
      <c r="BG152"/>
      <c r="BH152"/>
      <c r="BI152" s="12"/>
      <c r="BJ152" s="12"/>
      <c r="BK152" s="12"/>
      <c r="BL152" s="12"/>
      <c r="BM152" s="12"/>
      <c r="BN152" s="12"/>
      <c r="BO152" s="12"/>
      <c r="BP152" s="12"/>
      <c r="BQ152" s="12"/>
      <c r="BR152" s="12"/>
      <c r="BS152" s="12"/>
      <c r="BT152" s="12"/>
      <c r="BU152" s="12"/>
      <c r="BV152" s="12"/>
      <c r="BW152" s="12"/>
      <c r="BX152" s="12"/>
      <c r="BY152" s="12"/>
      <c r="BZ152" s="12"/>
      <c r="CA152" s="12"/>
      <c r="CB152" s="12"/>
      <c r="CC152" s="12"/>
      <c r="CD152" s="12"/>
      <c r="CE152" s="12"/>
      <c r="CF152" s="12"/>
      <c r="CG152" s="12"/>
      <c r="CH152" s="12"/>
      <c r="CI152" s="12"/>
      <c r="CJ152" s="12"/>
      <c r="CK152" s="12"/>
      <c r="CL152" s="12"/>
      <c r="CM152" s="12"/>
      <c r="CN152" s="12"/>
      <c r="CO152" s="12"/>
      <c r="CP152" s="12"/>
      <c r="CQ152" s="12"/>
      <c r="CR152" s="12"/>
      <c r="CS152" s="12"/>
      <c r="CT152" s="12"/>
      <c r="CU152" s="12"/>
      <c r="CV152" s="12"/>
      <c r="CW152" s="12"/>
      <c r="CX152" s="12"/>
      <c r="CY152" s="12"/>
      <c r="CZ152" s="12"/>
      <c r="DA152" s="12"/>
      <c r="DB152" s="12"/>
      <c r="DC152" s="12"/>
      <c r="DD152" s="12"/>
      <c r="DE152" s="12"/>
      <c r="DF152" s="12"/>
      <c r="DG152" s="12"/>
      <c r="DH152" s="12"/>
      <c r="DI152" s="12"/>
      <c r="DJ152" s="12"/>
      <c r="DK152" s="12"/>
      <c r="DL152" s="12"/>
    </row>
    <row r="153" spans="5:116" ht="11.1" customHeight="1" x14ac:dyDescent="0.25">
      <c r="F153" s="54"/>
      <c r="G153" s="625"/>
      <c r="H153" s="852"/>
      <c r="I153" s="852"/>
      <c r="J153" s="852"/>
      <c r="K153" s="852"/>
      <c r="L153" s="852"/>
      <c r="M153" s="852"/>
      <c r="N153" s="852"/>
      <c r="O153" s="852"/>
      <c r="P153" s="852"/>
      <c r="Q153" s="852"/>
      <c r="R153" s="852"/>
      <c r="S153" s="852"/>
      <c r="T153" s="852"/>
      <c r="U153" s="852"/>
      <c r="V153" s="852"/>
      <c r="W153" s="852"/>
      <c r="X153" s="852"/>
      <c r="Y153" s="852"/>
      <c r="Z153" s="852"/>
      <c r="AA153" s="627"/>
      <c r="AB153"/>
      <c r="AC153" s="855"/>
      <c r="AD153" s="856"/>
      <c r="AE153" s="856"/>
      <c r="AF153" s="856"/>
      <c r="AG153" s="856"/>
      <c r="AH153" s="856"/>
      <c r="AI153" s="856"/>
      <c r="AJ153" s="856"/>
      <c r="AK153" s="856"/>
      <c r="AL153" s="856"/>
      <c r="AM153" s="856"/>
      <c r="AN153" s="856"/>
      <c r="AO153" s="856"/>
      <c r="AP153" s="856"/>
      <c r="AQ153" s="856"/>
      <c r="AR153" s="856"/>
      <c r="AS153" s="856"/>
      <c r="AT153" s="856"/>
      <c r="AU153" s="856"/>
      <c r="AV153" s="856"/>
      <c r="AW153" s="857"/>
      <c r="AY153" s="11"/>
      <c r="BA153"/>
      <c r="BB153"/>
      <c r="BC153"/>
      <c r="BD153"/>
      <c r="BE153"/>
      <c r="BF153"/>
      <c r="BG153"/>
      <c r="BH153"/>
      <c r="BI153" s="12"/>
      <c r="BJ153" s="12"/>
      <c r="BK153" s="12"/>
      <c r="BL153" s="12"/>
      <c r="BM153" s="12"/>
      <c r="BN153" s="12"/>
      <c r="BO153" s="12"/>
      <c r="BP153" s="12"/>
      <c r="BQ153" s="12"/>
      <c r="BR153" s="12"/>
      <c r="BS153" s="12"/>
      <c r="BT153" s="12"/>
      <c r="BU153" s="12"/>
      <c r="BV153" s="12"/>
      <c r="BW153" s="12"/>
      <c r="BX153" s="12"/>
      <c r="BY153" s="12"/>
      <c r="BZ153" s="12"/>
      <c r="CA153" s="12"/>
      <c r="CB153" s="12"/>
      <c r="CC153" s="12"/>
      <c r="CD153" s="12"/>
      <c r="CE153" s="12"/>
      <c r="CF153" s="12"/>
      <c r="CG153" s="12"/>
      <c r="CH153" s="12"/>
      <c r="CI153" s="12"/>
      <c r="CJ153" s="12"/>
      <c r="CK153" s="12"/>
      <c r="CL153" s="12"/>
      <c r="CM153" s="12"/>
      <c r="CN153" s="12"/>
      <c r="CO153" s="12"/>
      <c r="CP153" s="12"/>
      <c r="CQ153" s="12"/>
      <c r="CR153" s="12"/>
      <c r="CS153" s="12"/>
      <c r="CT153" s="12"/>
      <c r="CU153" s="12"/>
      <c r="CV153" s="12"/>
      <c r="CW153" s="12"/>
      <c r="CX153" s="12"/>
      <c r="CY153" s="12"/>
      <c r="CZ153" s="12"/>
      <c r="DA153" s="12"/>
      <c r="DB153" s="12"/>
      <c r="DC153" s="12"/>
      <c r="DD153" s="12"/>
      <c r="DE153" s="12"/>
      <c r="DF153" s="12"/>
      <c r="DG153" s="12"/>
      <c r="DH153" s="12"/>
      <c r="DI153" s="12"/>
      <c r="DJ153" s="12"/>
      <c r="DK153" s="12"/>
      <c r="DL153" s="12"/>
    </row>
    <row r="154" spans="5:116" ht="11.1" customHeight="1" x14ac:dyDescent="0.25">
      <c r="F154" s="54"/>
      <c r="G154" s="625"/>
      <c r="H154" s="852"/>
      <c r="I154" s="852"/>
      <c r="J154" s="852"/>
      <c r="K154" s="852"/>
      <c r="L154" s="852"/>
      <c r="M154" s="852"/>
      <c r="N154" s="852"/>
      <c r="O154" s="852"/>
      <c r="P154" s="852"/>
      <c r="Q154" s="852"/>
      <c r="R154" s="852"/>
      <c r="S154" s="852"/>
      <c r="T154" s="852"/>
      <c r="U154" s="852"/>
      <c r="V154" s="852"/>
      <c r="W154" s="852"/>
      <c r="X154" s="852"/>
      <c r="Y154" s="852"/>
      <c r="Z154" s="852"/>
      <c r="AA154" s="627"/>
      <c r="AB154"/>
      <c r="AC154" s="855"/>
      <c r="AD154" s="856"/>
      <c r="AE154" s="856"/>
      <c r="AF154" s="856"/>
      <c r="AG154" s="856"/>
      <c r="AH154" s="856"/>
      <c r="AI154" s="856"/>
      <c r="AJ154" s="856"/>
      <c r="AK154" s="856"/>
      <c r="AL154" s="856"/>
      <c r="AM154" s="856"/>
      <c r="AN154" s="856"/>
      <c r="AO154" s="856"/>
      <c r="AP154" s="856"/>
      <c r="AQ154" s="856"/>
      <c r="AR154" s="856"/>
      <c r="AS154" s="856"/>
      <c r="AT154" s="856"/>
      <c r="AU154" s="856"/>
      <c r="AV154" s="856"/>
      <c r="AW154" s="857"/>
      <c r="AY154" s="11"/>
      <c r="BA154"/>
      <c r="BB154"/>
      <c r="BC154"/>
      <c r="BD154"/>
      <c r="BE154"/>
      <c r="BF154"/>
      <c r="BG154"/>
      <c r="BH154"/>
      <c r="BI154" s="12"/>
      <c r="BJ154" s="12"/>
      <c r="BK154" s="12"/>
      <c r="BL154" s="12"/>
      <c r="BM154" s="12"/>
      <c r="BN154" s="12"/>
      <c r="BO154" s="12"/>
      <c r="BP154" s="12"/>
      <c r="BQ154" s="12"/>
      <c r="BR154" s="12"/>
      <c r="BS154" s="12"/>
      <c r="BT154" s="12"/>
      <c r="BU154" s="12"/>
      <c r="BV154" s="12"/>
      <c r="BW154" s="12"/>
      <c r="BX154" s="12"/>
      <c r="BY154" s="12"/>
      <c r="BZ154" s="12"/>
      <c r="CA154" s="12"/>
      <c r="CB154" s="12"/>
      <c r="CC154" s="12"/>
      <c r="CD154" s="12"/>
      <c r="CE154" s="12"/>
      <c r="CF154" s="12"/>
      <c r="CG154" s="12"/>
      <c r="CH154" s="12"/>
      <c r="CI154" s="12"/>
      <c r="CJ154" s="12"/>
      <c r="CK154" s="12"/>
      <c r="CL154" s="12"/>
      <c r="CM154" s="12"/>
      <c r="CN154" s="12"/>
      <c r="CO154" s="12"/>
      <c r="CP154" s="12"/>
      <c r="CQ154" s="12"/>
      <c r="CR154" s="12"/>
      <c r="CS154" s="12"/>
      <c r="CT154" s="12"/>
      <c r="CU154" s="12"/>
      <c r="CV154" s="12"/>
      <c r="CW154" s="12"/>
      <c r="CX154" s="12"/>
      <c r="CY154" s="12"/>
      <c r="CZ154" s="12"/>
      <c r="DA154" s="12"/>
      <c r="DB154" s="12"/>
      <c r="DC154" s="12"/>
      <c r="DD154" s="12"/>
      <c r="DE154" s="12"/>
      <c r="DF154" s="12"/>
      <c r="DG154" s="12"/>
      <c r="DH154" s="12"/>
      <c r="DI154" s="12"/>
      <c r="DJ154" s="12"/>
      <c r="DK154" s="12"/>
      <c r="DL154" s="12"/>
    </row>
    <row r="155" spans="5:116" ht="11.1" customHeight="1" x14ac:dyDescent="0.25">
      <c r="F155" s="54"/>
      <c r="G155" s="625"/>
      <c r="H155" s="852"/>
      <c r="I155" s="852"/>
      <c r="J155" s="852"/>
      <c r="K155" s="852"/>
      <c r="L155" s="852"/>
      <c r="M155" s="852"/>
      <c r="N155" s="852"/>
      <c r="O155" s="852"/>
      <c r="P155" s="852"/>
      <c r="Q155" s="852"/>
      <c r="R155" s="852"/>
      <c r="S155" s="852"/>
      <c r="T155" s="852"/>
      <c r="U155" s="852"/>
      <c r="V155" s="852"/>
      <c r="W155" s="852"/>
      <c r="X155" s="852"/>
      <c r="Y155" s="852"/>
      <c r="Z155" s="852"/>
      <c r="AA155" s="627"/>
      <c r="AB155"/>
      <c r="AC155" s="855"/>
      <c r="AD155" s="856"/>
      <c r="AE155" s="856"/>
      <c r="AF155" s="856"/>
      <c r="AG155" s="856"/>
      <c r="AH155" s="856"/>
      <c r="AI155" s="856"/>
      <c r="AJ155" s="856"/>
      <c r="AK155" s="856"/>
      <c r="AL155" s="856"/>
      <c r="AM155" s="856"/>
      <c r="AN155" s="856"/>
      <c r="AO155" s="856"/>
      <c r="AP155" s="856"/>
      <c r="AQ155" s="856"/>
      <c r="AR155" s="856"/>
      <c r="AS155" s="856"/>
      <c r="AT155" s="856"/>
      <c r="AU155" s="856"/>
      <c r="AV155" s="856"/>
      <c r="AW155" s="857"/>
      <c r="AY155" s="11"/>
      <c r="BA155"/>
      <c r="BB155"/>
      <c r="BC155"/>
      <c r="BD155"/>
      <c r="BE155"/>
      <c r="BF155"/>
      <c r="BG155"/>
      <c r="BH155"/>
      <c r="BI155" s="12"/>
      <c r="BJ155" s="12"/>
      <c r="BK155" s="12"/>
      <c r="BL155" s="12"/>
      <c r="BM155" s="12"/>
      <c r="BN155" s="12"/>
      <c r="BO155" s="12"/>
      <c r="BP155" s="12"/>
      <c r="BQ155" s="12"/>
      <c r="BR155" s="12"/>
      <c r="BS155" s="12"/>
      <c r="BT155" s="12"/>
      <c r="BU155" s="12"/>
      <c r="BV155" s="12"/>
      <c r="BW155" s="12"/>
      <c r="BX155" s="12"/>
      <c r="BY155" s="12"/>
      <c r="BZ155" s="12"/>
      <c r="CA155" s="12"/>
      <c r="CB155" s="12"/>
      <c r="CC155" s="12"/>
      <c r="CD155" s="12"/>
      <c r="CE155" s="12"/>
      <c r="CF155" s="12"/>
      <c r="CG155" s="12"/>
      <c r="CH155" s="12"/>
      <c r="CI155" s="12"/>
      <c r="CJ155" s="12"/>
      <c r="CK155" s="12"/>
      <c r="CL155" s="12"/>
      <c r="CM155" s="12"/>
      <c r="CN155" s="12"/>
      <c r="CO155" s="12"/>
      <c r="CP155" s="12"/>
      <c r="CQ155" s="12"/>
      <c r="CR155" s="12"/>
      <c r="CS155" s="12"/>
      <c r="CT155" s="12"/>
      <c r="CU155" s="12"/>
      <c r="CV155" s="12"/>
      <c r="CW155" s="12"/>
      <c r="CX155" s="12"/>
      <c r="CY155" s="12"/>
      <c r="CZ155" s="12"/>
      <c r="DA155" s="12"/>
      <c r="DB155" s="12"/>
      <c r="DC155" s="12"/>
      <c r="DD155" s="12"/>
      <c r="DE155" s="12"/>
      <c r="DF155" s="12"/>
      <c r="DG155" s="12"/>
      <c r="DH155" s="12"/>
      <c r="DI155" s="12"/>
      <c r="DJ155" s="12"/>
      <c r="DK155" s="12"/>
      <c r="DL155" s="12"/>
    </row>
    <row r="156" spans="5:116" ht="11.1" customHeight="1" x14ac:dyDescent="0.25">
      <c r="F156" s="54"/>
      <c r="G156" s="625"/>
      <c r="H156" s="852"/>
      <c r="I156" s="852"/>
      <c r="J156" s="852"/>
      <c r="K156" s="852"/>
      <c r="L156" s="852"/>
      <c r="M156" s="852"/>
      <c r="N156" s="852"/>
      <c r="O156" s="852"/>
      <c r="P156" s="852"/>
      <c r="Q156" s="852"/>
      <c r="R156" s="852"/>
      <c r="S156" s="852"/>
      <c r="T156" s="852"/>
      <c r="U156" s="852"/>
      <c r="V156" s="852"/>
      <c r="W156" s="852"/>
      <c r="X156" s="852"/>
      <c r="Y156" s="852"/>
      <c r="Z156" s="852"/>
      <c r="AA156" s="627"/>
      <c r="AB156"/>
      <c r="AC156" s="855"/>
      <c r="AD156" s="856"/>
      <c r="AE156" s="856"/>
      <c r="AF156" s="856"/>
      <c r="AG156" s="856"/>
      <c r="AH156" s="856"/>
      <c r="AI156" s="856"/>
      <c r="AJ156" s="856"/>
      <c r="AK156" s="856"/>
      <c r="AL156" s="856"/>
      <c r="AM156" s="856"/>
      <c r="AN156" s="856"/>
      <c r="AO156" s="856"/>
      <c r="AP156" s="856"/>
      <c r="AQ156" s="856"/>
      <c r="AR156" s="856"/>
      <c r="AS156" s="856"/>
      <c r="AT156" s="856"/>
      <c r="AU156" s="856"/>
      <c r="AV156" s="856"/>
      <c r="AW156" s="857"/>
      <c r="AY156" s="11"/>
      <c r="BA156"/>
      <c r="BB156"/>
      <c r="BC156"/>
      <c r="BD156"/>
      <c r="BE156"/>
      <c r="BF156"/>
      <c r="BG156"/>
      <c r="BH156"/>
      <c r="BI156" s="12"/>
      <c r="BJ156" s="12"/>
      <c r="BK156" s="12"/>
      <c r="BL156" s="12"/>
      <c r="BM156" s="12"/>
      <c r="BN156" s="12"/>
      <c r="BO156" s="12"/>
      <c r="BP156" s="12"/>
      <c r="BQ156" s="12"/>
      <c r="BR156" s="12"/>
      <c r="BS156" s="12"/>
      <c r="BT156" s="12"/>
      <c r="BU156" s="12"/>
      <c r="BV156" s="12"/>
      <c r="BW156" s="12"/>
      <c r="BX156" s="12"/>
      <c r="BY156" s="12"/>
      <c r="BZ156" s="12"/>
      <c r="CA156" s="12"/>
      <c r="CB156" s="12"/>
      <c r="CC156" s="12"/>
      <c r="CD156" s="12"/>
      <c r="CE156" s="12"/>
      <c r="CF156" s="12"/>
      <c r="CG156" s="12"/>
      <c r="CH156" s="12"/>
      <c r="CI156" s="12"/>
      <c r="CJ156" s="12"/>
      <c r="CK156" s="12"/>
      <c r="CL156" s="12"/>
      <c r="CM156" s="12"/>
      <c r="CN156" s="12"/>
      <c r="CO156" s="12"/>
      <c r="CP156" s="12"/>
      <c r="CQ156" s="12"/>
      <c r="CR156" s="12"/>
      <c r="CS156" s="12"/>
      <c r="CT156" s="12"/>
      <c r="CU156" s="12"/>
      <c r="CV156" s="12"/>
      <c r="CW156" s="12"/>
      <c r="CX156" s="12"/>
      <c r="CY156" s="12"/>
      <c r="CZ156" s="12"/>
      <c r="DA156" s="12"/>
      <c r="DB156" s="12"/>
      <c r="DC156" s="12"/>
      <c r="DD156" s="12"/>
      <c r="DE156" s="12"/>
      <c r="DF156" s="12"/>
      <c r="DG156" s="12"/>
      <c r="DH156" s="12"/>
      <c r="DI156" s="12"/>
      <c r="DJ156" s="12"/>
      <c r="DK156" s="12"/>
      <c r="DL156" s="12"/>
    </row>
    <row r="157" spans="5:116" ht="11.1" customHeight="1" x14ac:dyDescent="0.25">
      <c r="F157" s="54"/>
      <c r="G157" s="625"/>
      <c r="H157" s="852"/>
      <c r="I157" s="852"/>
      <c r="J157" s="852"/>
      <c r="K157" s="852"/>
      <c r="L157" s="852"/>
      <c r="M157" s="852"/>
      <c r="N157" s="852"/>
      <c r="O157" s="852"/>
      <c r="P157" s="852"/>
      <c r="Q157" s="852"/>
      <c r="R157" s="852"/>
      <c r="S157" s="852"/>
      <c r="T157" s="852"/>
      <c r="U157" s="852"/>
      <c r="V157" s="852"/>
      <c r="W157" s="852"/>
      <c r="X157" s="852"/>
      <c r="Y157" s="852"/>
      <c r="Z157" s="852"/>
      <c r="AA157" s="627"/>
      <c r="AB157"/>
      <c r="AC157" s="855"/>
      <c r="AD157" s="856"/>
      <c r="AE157" s="856"/>
      <c r="AF157" s="856"/>
      <c r="AG157" s="856"/>
      <c r="AH157" s="856"/>
      <c r="AI157" s="856"/>
      <c r="AJ157" s="856"/>
      <c r="AK157" s="856"/>
      <c r="AL157" s="856"/>
      <c r="AM157" s="856"/>
      <c r="AN157" s="856"/>
      <c r="AO157" s="856"/>
      <c r="AP157" s="856"/>
      <c r="AQ157" s="856"/>
      <c r="AR157" s="856"/>
      <c r="AS157" s="856"/>
      <c r="AT157" s="856"/>
      <c r="AU157" s="856"/>
      <c r="AV157" s="856"/>
      <c r="AW157" s="857"/>
      <c r="AY157" s="11"/>
      <c r="BA157"/>
      <c r="BB157"/>
      <c r="BC157"/>
      <c r="BD157"/>
      <c r="BE157"/>
      <c r="BF157"/>
      <c r="BG157"/>
      <c r="BH157"/>
      <c r="BI157" s="12"/>
      <c r="BJ157" s="12"/>
      <c r="BK157" s="12"/>
      <c r="BL157" s="12"/>
      <c r="BM157" s="12"/>
      <c r="BN157" s="12"/>
      <c r="BO157" s="12"/>
      <c r="BP157" s="12"/>
      <c r="BQ157" s="12"/>
      <c r="BR157" s="12"/>
      <c r="BS157" s="12"/>
      <c r="BT157" s="12"/>
      <c r="BU157" s="12"/>
      <c r="BV157" s="12"/>
      <c r="BW157" s="12"/>
      <c r="BX157" s="12"/>
      <c r="BY157" s="12"/>
      <c r="BZ157" s="12"/>
      <c r="CA157" s="12"/>
      <c r="CB157" s="12"/>
      <c r="CC157" s="12"/>
      <c r="CD157" s="12"/>
      <c r="CE157" s="12"/>
      <c r="CF157" s="12"/>
      <c r="CG157" s="12"/>
      <c r="CH157" s="12"/>
      <c r="CI157" s="12"/>
      <c r="CJ157" s="12"/>
      <c r="CK157" s="12"/>
      <c r="CL157" s="12"/>
      <c r="CM157" s="12"/>
      <c r="CN157" s="12"/>
      <c r="CO157" s="12"/>
      <c r="CP157" s="12"/>
      <c r="CQ157" s="12"/>
      <c r="CR157" s="12"/>
      <c r="CS157" s="12"/>
      <c r="CT157" s="12"/>
      <c r="CU157" s="12"/>
      <c r="CV157" s="12"/>
      <c r="CW157" s="12"/>
      <c r="CX157" s="12"/>
      <c r="CY157" s="12"/>
      <c r="CZ157" s="12"/>
      <c r="DA157" s="12"/>
      <c r="DB157" s="12"/>
      <c r="DC157" s="12"/>
      <c r="DD157" s="12"/>
      <c r="DE157" s="12"/>
      <c r="DF157" s="12"/>
      <c r="DG157" s="12"/>
      <c r="DH157" s="12"/>
      <c r="DI157" s="12"/>
      <c r="DJ157" s="12"/>
      <c r="DK157" s="12"/>
      <c r="DL157" s="12"/>
    </row>
    <row r="158" spans="5:116" ht="11.1" customHeight="1" x14ac:dyDescent="0.25">
      <c r="F158" s="54"/>
      <c r="G158" s="628"/>
      <c r="H158" s="629"/>
      <c r="I158" s="629"/>
      <c r="J158" s="629"/>
      <c r="K158" s="629"/>
      <c r="L158" s="629"/>
      <c r="M158" s="629"/>
      <c r="N158" s="629"/>
      <c r="O158" s="629"/>
      <c r="P158" s="629"/>
      <c r="Q158" s="629"/>
      <c r="R158" s="629"/>
      <c r="S158" s="629"/>
      <c r="T158" s="629"/>
      <c r="U158" s="629"/>
      <c r="V158" s="629"/>
      <c r="W158" s="629"/>
      <c r="X158" s="629"/>
      <c r="Y158" s="629"/>
      <c r="Z158" s="629"/>
      <c r="AA158" s="630"/>
      <c r="AB158"/>
      <c r="AC158" s="858"/>
      <c r="AD158" s="859"/>
      <c r="AE158" s="859"/>
      <c r="AF158" s="859"/>
      <c r="AG158" s="859"/>
      <c r="AH158" s="859"/>
      <c r="AI158" s="859"/>
      <c r="AJ158" s="859"/>
      <c r="AK158" s="859"/>
      <c r="AL158" s="859"/>
      <c r="AM158" s="859"/>
      <c r="AN158" s="859"/>
      <c r="AO158" s="859"/>
      <c r="AP158" s="859"/>
      <c r="AQ158" s="859"/>
      <c r="AR158" s="859"/>
      <c r="AS158" s="859"/>
      <c r="AT158" s="859"/>
      <c r="AU158" s="859"/>
      <c r="AV158" s="859"/>
      <c r="AW158" s="860"/>
      <c r="AY158" s="11"/>
      <c r="BA158"/>
      <c r="BB158"/>
      <c r="BC158"/>
      <c r="BD158"/>
      <c r="BE158"/>
      <c r="BF158"/>
      <c r="BG158"/>
      <c r="BH158"/>
      <c r="BI158" s="12"/>
      <c r="BJ158" s="12"/>
      <c r="BK158" s="12"/>
      <c r="BL158" s="12"/>
      <c r="BM158" s="12"/>
      <c r="BN158" s="12"/>
      <c r="BO158" s="12"/>
      <c r="BP158" s="12"/>
      <c r="BQ158" s="12"/>
      <c r="BR158" s="12"/>
      <c r="BS158" s="12"/>
      <c r="BT158" s="12"/>
      <c r="BU158" s="12"/>
      <c r="BV158" s="12"/>
      <c r="BW158" s="12"/>
      <c r="BX158" s="12"/>
      <c r="BY158" s="12"/>
      <c r="BZ158" s="12"/>
      <c r="CA158" s="12"/>
      <c r="CB158" s="12"/>
      <c r="CC158" s="12"/>
      <c r="CD158" s="12"/>
      <c r="CE158" s="12"/>
      <c r="CF158" s="12"/>
      <c r="CG158" s="12"/>
      <c r="CH158" s="12"/>
      <c r="CI158" s="12"/>
      <c r="CJ158" s="12"/>
      <c r="CK158" s="12"/>
      <c r="CL158" s="12"/>
      <c r="CM158" s="12"/>
      <c r="CN158" s="12"/>
      <c r="CO158" s="12"/>
      <c r="CP158" s="12"/>
      <c r="CQ158" s="12"/>
      <c r="CR158" s="12"/>
      <c r="CS158" s="12"/>
      <c r="CT158" s="12"/>
      <c r="CU158" s="12"/>
      <c r="CV158" s="12"/>
      <c r="CW158" s="12"/>
      <c r="CX158" s="12"/>
      <c r="CY158" s="12"/>
      <c r="CZ158" s="12"/>
      <c r="DA158" s="12"/>
      <c r="DB158" s="12"/>
      <c r="DC158" s="12"/>
      <c r="DD158" s="12"/>
      <c r="DE158" s="12"/>
      <c r="DF158" s="12"/>
      <c r="DG158" s="12"/>
      <c r="DH158" s="12"/>
      <c r="DI158" s="12"/>
      <c r="DJ158" s="12"/>
      <c r="DK158" s="12"/>
      <c r="DL158" s="12"/>
    </row>
    <row r="159" spans="5:116" ht="3.9" customHeight="1" x14ac:dyDescent="0.25">
      <c r="E159" s="9" t="s">
        <v>9</v>
      </c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44"/>
      <c r="AY159" s="11"/>
      <c r="BA159"/>
      <c r="BB159"/>
      <c r="BC159"/>
      <c r="BD159"/>
      <c r="BE159"/>
      <c r="BF159"/>
      <c r="BG159"/>
      <c r="BH159"/>
      <c r="BI159" s="12"/>
      <c r="BJ159" s="12"/>
      <c r="BK159" s="12"/>
      <c r="BL159" s="12"/>
      <c r="BM159" s="12"/>
      <c r="BN159" s="12"/>
      <c r="BO159" s="12"/>
      <c r="BP159" s="12"/>
      <c r="BQ159" s="12"/>
      <c r="BR159" s="12"/>
      <c r="BS159" s="12"/>
      <c r="BT159" s="12"/>
      <c r="BU159" s="12"/>
      <c r="BV159" s="12"/>
      <c r="BW159" s="12"/>
      <c r="BX159" s="12"/>
      <c r="BY159" s="12"/>
      <c r="BZ159" s="12"/>
      <c r="CA159" s="12"/>
      <c r="CB159" s="12"/>
      <c r="CC159" s="12"/>
      <c r="CD159" s="12"/>
      <c r="CE159" s="12"/>
      <c r="CF159" s="12"/>
      <c r="CG159" s="12"/>
      <c r="CH159" s="12"/>
      <c r="CI159" s="12"/>
      <c r="CJ159" s="12"/>
      <c r="CK159" s="12"/>
      <c r="CL159" s="12"/>
      <c r="CM159" s="12"/>
      <c r="CN159" s="12"/>
      <c r="CO159" s="12"/>
      <c r="CP159" s="12"/>
      <c r="CQ159" s="12"/>
      <c r="CR159" s="12"/>
      <c r="CS159" s="12"/>
      <c r="CT159" s="12"/>
      <c r="CU159" s="12"/>
      <c r="CV159" s="12"/>
      <c r="CW159" s="12"/>
      <c r="CX159" s="12"/>
      <c r="CY159" s="12"/>
      <c r="CZ159" s="12"/>
      <c r="DA159" s="12"/>
      <c r="DB159" s="12"/>
      <c r="DC159" s="12"/>
      <c r="DD159" s="12"/>
      <c r="DE159" s="12"/>
      <c r="DF159" s="12"/>
      <c r="DG159" s="12"/>
      <c r="DH159" s="12"/>
      <c r="DI159" s="12"/>
      <c r="DJ159" s="12"/>
      <c r="DK159" s="12"/>
      <c r="DL159" s="12"/>
    </row>
    <row r="160" spans="5:116" ht="3.9" customHeight="1" x14ac:dyDescent="0.25"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44"/>
      <c r="AY160" s="11"/>
      <c r="BA160"/>
      <c r="BB160"/>
      <c r="BC160"/>
      <c r="BD160"/>
      <c r="BE160"/>
      <c r="BF160"/>
      <c r="BG160"/>
      <c r="BH160"/>
      <c r="BI160" s="12"/>
      <c r="BJ160" s="12"/>
      <c r="BK160" s="12"/>
      <c r="BL160" s="12"/>
      <c r="BM160" s="12"/>
      <c r="BN160" s="12"/>
      <c r="BO160" s="12"/>
      <c r="BP160" s="12"/>
      <c r="BQ160" s="12"/>
      <c r="BR160" s="12"/>
      <c r="BS160" s="12"/>
      <c r="BT160" s="12"/>
      <c r="BU160" s="12"/>
      <c r="BV160" s="12"/>
      <c r="BW160" s="12"/>
      <c r="BX160" s="12"/>
      <c r="BY160" s="12"/>
      <c r="BZ160" s="12"/>
      <c r="CA160" s="12"/>
      <c r="CB160" s="12"/>
      <c r="CC160" s="12"/>
      <c r="CD160" s="12"/>
      <c r="CE160" s="12"/>
      <c r="CF160" s="12"/>
      <c r="CG160" s="12"/>
      <c r="CH160" s="12"/>
      <c r="CI160" s="12"/>
      <c r="CJ160" s="12"/>
      <c r="CK160" s="12"/>
      <c r="CL160" s="12"/>
      <c r="CM160" s="12"/>
      <c r="CN160" s="12"/>
      <c r="CO160" s="12"/>
      <c r="CP160" s="12"/>
      <c r="CQ160" s="12"/>
      <c r="CR160" s="12"/>
      <c r="CS160" s="12"/>
      <c r="CT160" s="12"/>
      <c r="CU160" s="12"/>
      <c r="CV160" s="12"/>
      <c r="CW160" s="12"/>
      <c r="CX160" s="12"/>
      <c r="CY160" s="12"/>
      <c r="CZ160" s="12"/>
      <c r="DA160" s="12"/>
      <c r="DB160" s="12"/>
      <c r="DC160" s="12"/>
      <c r="DD160" s="12"/>
      <c r="DE160" s="12"/>
      <c r="DF160" s="12"/>
      <c r="DG160" s="12"/>
      <c r="DH160" s="12"/>
      <c r="DI160" s="12"/>
      <c r="DJ160" s="12"/>
      <c r="DK160" s="12"/>
      <c r="DL160" s="12"/>
    </row>
    <row r="161" spans="1:156" ht="3.9" customHeight="1" x14ac:dyDescent="0.25"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44"/>
      <c r="AY161" s="11"/>
      <c r="BA161"/>
      <c r="BB161"/>
      <c r="BC161"/>
      <c r="BD161"/>
      <c r="BE161"/>
      <c r="BF161"/>
      <c r="BG161"/>
      <c r="BH161"/>
      <c r="BI161" s="12"/>
      <c r="BJ161" s="12"/>
      <c r="BK161" s="12"/>
      <c r="BL161" s="12"/>
      <c r="BM161" s="12"/>
      <c r="BN161" s="12"/>
      <c r="BO161" s="12"/>
      <c r="BP161" s="12"/>
      <c r="BQ161" s="12"/>
      <c r="BR161" s="12"/>
      <c r="BS161" s="12"/>
      <c r="BT161" s="12"/>
      <c r="BU161" s="12"/>
      <c r="BV161" s="12"/>
      <c r="BW161" s="12"/>
      <c r="BX161" s="12"/>
      <c r="BY161" s="12"/>
      <c r="BZ161" s="12"/>
      <c r="CA161" s="12"/>
      <c r="CB161" s="12"/>
      <c r="CC161" s="12"/>
      <c r="CD161" s="12"/>
      <c r="CE161" s="12"/>
      <c r="CF161" s="12"/>
      <c r="CG161" s="12"/>
      <c r="CH161" s="12"/>
      <c r="CI161" s="12"/>
      <c r="CJ161" s="12"/>
      <c r="CK161" s="12"/>
      <c r="CL161" s="12"/>
      <c r="CM161" s="12"/>
      <c r="CN161" s="12"/>
      <c r="CO161" s="12"/>
      <c r="CP161" s="12"/>
      <c r="CQ161" s="12"/>
      <c r="CR161" s="12"/>
      <c r="CS161" s="12"/>
      <c r="CT161" s="12"/>
      <c r="CU161" s="12"/>
      <c r="CV161" s="12"/>
      <c r="CW161" s="12"/>
      <c r="CX161" s="12"/>
      <c r="CY161" s="12"/>
      <c r="CZ161" s="12"/>
      <c r="DA161" s="12"/>
      <c r="DB161" s="12"/>
      <c r="DC161" s="12"/>
      <c r="DD161" s="12"/>
      <c r="DE161" s="12"/>
      <c r="DF161" s="12"/>
      <c r="DG161" s="12"/>
      <c r="DH161" s="12"/>
      <c r="DI161" s="12"/>
      <c r="DJ161" s="12"/>
      <c r="DK161" s="12"/>
      <c r="DL161" s="12"/>
    </row>
    <row r="162" spans="1:156" ht="12" customHeight="1" x14ac:dyDescent="0.25">
      <c r="D162" s="5"/>
      <c r="E162" s="5"/>
      <c r="H162" s="594"/>
      <c r="I162" s="594"/>
      <c r="J162" s="594"/>
      <c r="K162" s="594"/>
      <c r="L162" s="594"/>
      <c r="M162" s="594"/>
      <c r="N162" s="594"/>
      <c r="O162" s="594"/>
      <c r="P162" s="594"/>
      <c r="Q162" s="594"/>
      <c r="R162" s="594"/>
      <c r="S162" s="594"/>
      <c r="T162" s="594"/>
      <c r="U162" s="594"/>
      <c r="V162" s="594"/>
      <c r="W162" s="594"/>
      <c r="X162" s="594"/>
      <c r="Y162" s="594"/>
      <c r="Z162" s="594"/>
      <c r="AE162" s="57" t="s">
        <v>66</v>
      </c>
      <c r="AF162" s="641" t="s">
        <v>208</v>
      </c>
      <c r="AG162" s="641"/>
      <c r="AH162" s="641"/>
      <c r="AI162" s="641"/>
      <c r="AJ162" s="641"/>
      <c r="AK162" s="641"/>
      <c r="AL162" s="641"/>
      <c r="AM162" s="641"/>
      <c r="AN162" s="641"/>
      <c r="AO162" s="641"/>
      <c r="AP162" s="641"/>
      <c r="AQ162" s="641"/>
      <c r="AR162" s="641"/>
      <c r="AS162" s="641"/>
      <c r="AT162" s="641"/>
      <c r="AU162" s="641"/>
      <c r="AV162" s="641"/>
      <c r="AW162" s="283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11"/>
      <c r="DN162" s="11"/>
      <c r="DO162" s="11"/>
      <c r="DP162" s="11"/>
      <c r="DQ162" s="11"/>
      <c r="DR162" s="11"/>
      <c r="DS162" s="11"/>
      <c r="DT162" s="11"/>
      <c r="DU162" s="11"/>
      <c r="DV162" s="11"/>
      <c r="DW162" s="11"/>
      <c r="DX162" s="11"/>
      <c r="DY162" s="11"/>
      <c r="DZ162" s="11"/>
      <c r="EA162" s="11"/>
      <c r="EB162" s="11"/>
      <c r="EC162" s="11"/>
      <c r="ED162" s="11"/>
      <c r="EE162" s="11"/>
      <c r="EF162" s="11"/>
      <c r="EG162" s="11"/>
      <c r="EH162" s="11"/>
      <c r="EI162" s="11"/>
      <c r="EJ162" s="11"/>
      <c r="EK162" s="11"/>
      <c r="EL162" s="11"/>
      <c r="EM162" s="11"/>
      <c r="EN162" s="11"/>
    </row>
    <row r="163" spans="1:156" ht="12" customHeight="1" x14ac:dyDescent="0.25">
      <c r="D163" s="5"/>
      <c r="E163" s="5"/>
      <c r="H163" s="58" t="s">
        <v>18</v>
      </c>
      <c r="I163" s="650" t="s">
        <v>19</v>
      </c>
      <c r="J163" s="651"/>
      <c r="K163" s="651"/>
      <c r="L163" s="651"/>
      <c r="M163" s="651"/>
      <c r="N163" s="651"/>
      <c r="O163" s="651"/>
      <c r="P163" s="651"/>
      <c r="Q163" s="651"/>
      <c r="R163" s="651"/>
      <c r="S163" s="651"/>
      <c r="T163" s="651"/>
      <c r="U163" s="651"/>
      <c r="V163" s="651"/>
      <c r="W163" s="651"/>
      <c r="X163" s="651"/>
      <c r="Y163" s="651"/>
      <c r="Z163" s="651"/>
      <c r="AE163" s="9" t="s">
        <v>20</v>
      </c>
      <c r="AF163" s="593">
        <f>G41</f>
        <v>0</v>
      </c>
      <c r="AG163" s="593"/>
      <c r="AH163" s="593"/>
      <c r="AI163" s="593"/>
      <c r="AJ163" s="593"/>
      <c r="AK163" s="593"/>
      <c r="AL163" s="593"/>
      <c r="AM163" s="593"/>
      <c r="AN163" s="593"/>
      <c r="AO163" s="593"/>
      <c r="AP163" s="593"/>
      <c r="AQ163" s="593"/>
      <c r="AR163" s="593"/>
      <c r="AS163" s="593"/>
      <c r="AT163" s="593"/>
      <c r="AU163" s="593"/>
      <c r="AV163" s="593"/>
      <c r="AW163" s="593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  <c r="DF163" s="5"/>
      <c r="DG163" s="5"/>
      <c r="DH163" s="5"/>
      <c r="DI163" s="5"/>
      <c r="DJ163" s="5"/>
      <c r="DK163" s="5"/>
      <c r="DL163" s="5"/>
      <c r="DM163" s="11"/>
      <c r="DN163" s="11"/>
      <c r="DO163" s="11"/>
      <c r="DP163" s="11"/>
      <c r="DQ163" s="11"/>
      <c r="DR163" s="11"/>
      <c r="DS163" s="11"/>
      <c r="DT163" s="11"/>
      <c r="DU163" s="11"/>
      <c r="DV163" s="11"/>
      <c r="DW163" s="11"/>
      <c r="DX163" s="11"/>
      <c r="DY163" s="11"/>
      <c r="DZ163" s="11"/>
      <c r="EA163" s="11"/>
      <c r="EB163" s="11"/>
      <c r="EC163" s="11"/>
      <c r="ED163" s="11"/>
      <c r="EE163" s="11"/>
      <c r="EF163" s="11"/>
      <c r="EG163" s="11"/>
      <c r="EH163" s="11"/>
      <c r="EI163" s="11"/>
      <c r="EJ163" s="11"/>
      <c r="EK163" s="11"/>
      <c r="EL163" s="11"/>
      <c r="EM163" s="11"/>
      <c r="EN163" s="11"/>
    </row>
    <row r="164" spans="1:156" ht="12" customHeight="1" x14ac:dyDescent="0.25">
      <c r="D164" s="5"/>
      <c r="E164" s="5"/>
      <c r="AE164" s="9" t="s">
        <v>21</v>
      </c>
      <c r="AF164" s="314">
        <f>AK41</f>
        <v>0</v>
      </c>
      <c r="AG164" s="314"/>
      <c r="AH164" s="314"/>
      <c r="AI164" s="314"/>
      <c r="AJ164" s="314"/>
      <c r="AK164" s="314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11"/>
      <c r="DN164" s="11"/>
      <c r="DO164" s="11"/>
      <c r="DP164" s="11"/>
      <c r="DQ164" s="11"/>
      <c r="DR164" s="11"/>
      <c r="DS164" s="11"/>
      <c r="DT164" s="11"/>
      <c r="DU164" s="11"/>
      <c r="DV164" s="11"/>
      <c r="DW164" s="11"/>
      <c r="DX164" s="11"/>
      <c r="DY164" s="11"/>
      <c r="DZ164" s="11"/>
      <c r="EA164" s="11"/>
      <c r="EB164" s="11"/>
      <c r="EC164" s="11"/>
      <c r="ED164" s="11"/>
      <c r="EE164" s="11"/>
      <c r="EF164" s="11"/>
      <c r="EG164" s="11"/>
      <c r="EH164" s="11"/>
      <c r="EI164" s="11"/>
      <c r="EJ164" s="11"/>
      <c r="EK164" s="11"/>
      <c r="EL164" s="11"/>
      <c r="EM164" s="11"/>
      <c r="EN164" s="11"/>
    </row>
    <row r="165" spans="1:156" ht="6" customHeight="1" x14ac:dyDescent="0.25">
      <c r="D165" s="5"/>
      <c r="E165" s="5"/>
      <c r="G165" s="54"/>
      <c r="DM165" s="11"/>
      <c r="DN165" s="11"/>
      <c r="DO165" s="11"/>
      <c r="DP165" s="11"/>
      <c r="DQ165" s="11"/>
      <c r="DR165" s="11"/>
      <c r="DS165" s="11"/>
      <c r="DT165" s="11"/>
      <c r="DU165" s="11"/>
      <c r="DV165" s="11"/>
      <c r="DW165" s="11"/>
      <c r="DX165" s="11"/>
      <c r="DY165" s="11"/>
      <c r="DZ165" s="11"/>
      <c r="EA165" s="11"/>
      <c r="EB165" s="11"/>
      <c r="EC165" s="11"/>
      <c r="ED165" s="11"/>
      <c r="EE165" s="11"/>
      <c r="EF165" s="11"/>
      <c r="EG165" s="11"/>
      <c r="EH165" s="11"/>
      <c r="EI165" s="11"/>
      <c r="EJ165" s="11"/>
      <c r="EK165" s="11"/>
      <c r="EL165" s="11"/>
      <c r="EM165" s="11"/>
      <c r="EN165" s="11"/>
    </row>
    <row r="166" spans="1:156" ht="12" customHeight="1" x14ac:dyDescent="0.25">
      <c r="D166" s="5"/>
      <c r="E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DM166" s="11"/>
      <c r="DN166" s="11"/>
      <c r="DO166" s="11"/>
      <c r="DP166" s="11"/>
      <c r="DQ166" s="11"/>
      <c r="DR166" s="11"/>
      <c r="DS166" s="11"/>
      <c r="DT166" s="11"/>
      <c r="DU166" s="11"/>
      <c r="DV166" s="11"/>
      <c r="DW166" s="11"/>
      <c r="DX166" s="11"/>
      <c r="DY166" s="11"/>
      <c r="DZ166" s="11"/>
      <c r="EA166" s="11"/>
      <c r="EB166" s="11"/>
      <c r="EC166" s="11"/>
      <c r="ED166" s="11"/>
      <c r="EE166" s="11"/>
      <c r="EF166" s="11"/>
      <c r="EG166" s="11"/>
      <c r="EH166" s="11"/>
      <c r="EI166" s="11"/>
      <c r="EJ166" s="11"/>
      <c r="EK166" s="11"/>
      <c r="EL166" s="11"/>
      <c r="EM166" s="11"/>
      <c r="EN166" s="11"/>
    </row>
    <row r="167" spans="1:156" ht="12" customHeight="1" x14ac:dyDescent="0.25">
      <c r="D167" s="5"/>
      <c r="E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E167" s="57" t="s">
        <v>22</v>
      </c>
      <c r="AF167" s="641" t="s">
        <v>295</v>
      </c>
      <c r="AG167" s="641"/>
      <c r="AH167" s="641"/>
      <c r="AI167" s="641"/>
      <c r="AJ167" s="641"/>
      <c r="AK167" s="641"/>
      <c r="AL167" s="641"/>
      <c r="AM167" s="641"/>
      <c r="AN167" s="641"/>
      <c r="AO167" s="641"/>
      <c r="AP167" s="641"/>
      <c r="AQ167" s="641"/>
      <c r="AR167" s="641"/>
      <c r="AS167" s="641"/>
      <c r="AT167" s="641"/>
      <c r="AU167" s="641"/>
      <c r="AV167" s="641"/>
      <c r="AW167" s="283"/>
      <c r="DM167" s="11"/>
      <c r="DN167" s="11"/>
      <c r="DO167" s="11"/>
      <c r="DP167" s="11"/>
      <c r="DQ167" s="11"/>
      <c r="DR167" s="11"/>
      <c r="DS167" s="11"/>
      <c r="DT167" s="11"/>
      <c r="DU167" s="11"/>
      <c r="DV167" s="11"/>
      <c r="DW167" s="11"/>
      <c r="DX167" s="11"/>
      <c r="DY167" s="11"/>
      <c r="DZ167" s="11"/>
      <c r="EA167" s="11"/>
      <c r="EB167" s="11"/>
      <c r="EC167" s="11"/>
      <c r="ED167" s="11"/>
      <c r="EE167" s="11"/>
      <c r="EF167" s="11"/>
      <c r="EG167" s="11"/>
      <c r="EH167" s="11"/>
      <c r="EI167" s="11"/>
      <c r="EJ167" s="11"/>
      <c r="EK167" s="11"/>
      <c r="EL167" s="11"/>
      <c r="EM167" s="11"/>
      <c r="EN167" s="11"/>
    </row>
    <row r="168" spans="1:156" ht="12" customHeight="1" x14ac:dyDescent="0.25">
      <c r="D168" s="5"/>
      <c r="E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E168" s="9" t="s">
        <v>20</v>
      </c>
      <c r="AF168" s="593">
        <f>G47</f>
        <v>0</v>
      </c>
      <c r="AG168" s="593"/>
      <c r="AH168" s="593"/>
      <c r="AI168" s="593"/>
      <c r="AJ168" s="593"/>
      <c r="AK168" s="593"/>
      <c r="AL168" s="593"/>
      <c r="AM168" s="593"/>
      <c r="AN168" s="593"/>
      <c r="AO168" s="593"/>
      <c r="AP168" s="593"/>
      <c r="AQ168" s="593"/>
      <c r="AR168" s="593"/>
      <c r="AS168" s="593"/>
      <c r="AT168" s="593"/>
      <c r="AU168" s="593"/>
      <c r="AV168" s="593"/>
      <c r="AW168" s="593"/>
      <c r="DM168" s="11"/>
      <c r="DN168" s="11"/>
      <c r="DO168" s="11"/>
      <c r="DP168" s="11"/>
      <c r="DQ168" s="11"/>
      <c r="DR168" s="11"/>
      <c r="DS168" s="11"/>
      <c r="DT168" s="11"/>
      <c r="DU168" s="11"/>
      <c r="DV168" s="11"/>
      <c r="DW168" s="11"/>
      <c r="DX168" s="11"/>
      <c r="DY168" s="11"/>
      <c r="DZ168" s="11"/>
      <c r="EA168" s="11"/>
      <c r="EB168" s="11"/>
      <c r="EC168" s="11"/>
      <c r="ED168" s="11"/>
      <c r="EE168" s="11"/>
      <c r="EF168" s="11"/>
      <c r="EG168" s="11"/>
      <c r="EH168" s="11"/>
      <c r="EI168" s="11"/>
      <c r="EJ168" s="11"/>
      <c r="EK168" s="11"/>
      <c r="EL168" s="11"/>
      <c r="EM168" s="11"/>
      <c r="EN168" s="11"/>
    </row>
    <row r="169" spans="1:156" ht="12" customHeight="1" x14ac:dyDescent="0.25">
      <c r="D169" s="5"/>
      <c r="E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E169" s="9" t="s">
        <v>21</v>
      </c>
      <c r="AF169" s="314">
        <f>AK47</f>
        <v>0</v>
      </c>
      <c r="AG169" s="314"/>
      <c r="AH169" s="314"/>
      <c r="AI169" s="314"/>
      <c r="AJ169" s="314"/>
      <c r="AK169" s="314"/>
      <c r="AL169"/>
      <c r="AM169"/>
      <c r="AN169"/>
      <c r="AP169" s="115" t="s">
        <v>291</v>
      </c>
      <c r="AQ169" s="617" t="str">
        <f>AB47&amp;"/"&amp;AI47</f>
        <v>0/0</v>
      </c>
      <c r="AR169" s="617"/>
      <c r="AS169" s="617"/>
      <c r="AT169" s="617"/>
      <c r="AU169" s="617"/>
      <c r="AV169" s="617"/>
      <c r="AW169" s="617"/>
      <c r="BB169" s="42"/>
      <c r="BC169" s="42"/>
      <c r="BD169" s="42"/>
      <c r="BE169" s="42"/>
      <c r="BF169" s="42"/>
      <c r="BG169" s="42"/>
      <c r="BH169" s="42"/>
      <c r="BI169" s="42"/>
      <c r="BJ169" s="42"/>
      <c r="BK169" s="42"/>
      <c r="BL169" s="42"/>
      <c r="BM169" s="42"/>
      <c r="BN169" s="42"/>
      <c r="BO169" s="42"/>
      <c r="BP169" s="42"/>
      <c r="BQ169" s="42"/>
      <c r="BR169" s="42"/>
      <c r="BS169" s="42"/>
      <c r="BT169" s="42"/>
      <c r="BU169" s="42"/>
      <c r="BV169" s="42"/>
      <c r="BW169" s="42"/>
      <c r="BX169" s="42"/>
      <c r="BY169" s="42"/>
      <c r="BZ169" s="42"/>
      <c r="CA169" s="42"/>
      <c r="CB169" s="42"/>
      <c r="CC169" s="42"/>
      <c r="CD169" s="42"/>
      <c r="CE169" s="42"/>
      <c r="CF169" s="42"/>
      <c r="CG169" s="42"/>
      <c r="CH169" s="42"/>
      <c r="CI169" s="42"/>
      <c r="CJ169" s="42"/>
      <c r="CK169" s="42"/>
      <c r="CL169" s="42"/>
      <c r="CM169" s="42"/>
      <c r="CN169" s="42"/>
      <c r="CO169" s="42"/>
      <c r="CP169" s="42"/>
      <c r="CQ169" s="42"/>
      <c r="CR169" s="42"/>
      <c r="CS169" s="42"/>
      <c r="CT169" s="42"/>
      <c r="CU169" s="42"/>
      <c r="CV169" s="42"/>
      <c r="CW169" s="42"/>
      <c r="DM169" s="11"/>
      <c r="DN169" s="11"/>
      <c r="DO169" s="11"/>
      <c r="DP169" s="11"/>
      <c r="DQ169" s="11"/>
      <c r="DR169" s="11"/>
      <c r="DS169" s="11"/>
      <c r="DT169" s="11"/>
      <c r="DU169" s="11"/>
      <c r="DV169" s="11"/>
      <c r="DW169" s="11"/>
      <c r="DX169" s="11"/>
      <c r="DY169" s="11"/>
      <c r="DZ169" s="11"/>
      <c r="EA169" s="11"/>
      <c r="EB169" s="11"/>
      <c r="EC169" s="11"/>
      <c r="ED169" s="11"/>
      <c r="EE169" s="11"/>
      <c r="EF169" s="11"/>
      <c r="EG169" s="11"/>
      <c r="EH169" s="11"/>
      <c r="EI169" s="11"/>
      <c r="EJ169" s="11"/>
      <c r="EK169" s="11"/>
      <c r="EL169" s="11"/>
      <c r="EM169" s="11"/>
      <c r="EN169" s="11"/>
    </row>
    <row r="170" spans="1:156" s="42" customFormat="1" ht="12.75" customHeight="1" x14ac:dyDescent="0.25">
      <c r="A170" s="8"/>
      <c r="B170" s="8"/>
      <c r="C170" s="8"/>
      <c r="D170" s="5"/>
      <c r="E170" s="5"/>
      <c r="F170" s="12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  <c r="R170" s="12"/>
      <c r="S170" s="12"/>
      <c r="T170" s="12"/>
      <c r="U170" s="12"/>
      <c r="V170" s="12"/>
      <c r="W170" s="12"/>
      <c r="X170" s="12"/>
      <c r="Y170" s="12"/>
      <c r="Z170" s="12"/>
      <c r="AA170" s="12"/>
      <c r="AB170" s="12"/>
      <c r="AC170" s="12"/>
      <c r="AD170" s="12"/>
      <c r="AE170" s="12"/>
      <c r="AF170" s="12"/>
      <c r="AG170" s="12"/>
      <c r="AH170" s="12"/>
      <c r="AI170" s="12"/>
      <c r="AJ170" s="12"/>
      <c r="AK170" s="12"/>
      <c r="AL170" s="12"/>
      <c r="AM170" s="12"/>
      <c r="AN170" s="12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</row>
    <row r="171" spans="1:156" ht="12" customHeight="1" thickBot="1" x14ac:dyDescent="0.3">
      <c r="D171" s="5"/>
      <c r="E171" s="5"/>
      <c r="F171" s="47"/>
      <c r="G171" s="48" t="s">
        <v>442</v>
      </c>
      <c r="H171" s="47"/>
      <c r="I171" s="47"/>
      <c r="J171" s="47"/>
      <c r="K171" s="47"/>
      <c r="L171" s="47"/>
      <c r="M171" s="47"/>
      <c r="N171" s="47"/>
      <c r="O171" s="47"/>
      <c r="P171" s="47"/>
      <c r="Q171" s="47"/>
      <c r="R171" s="47"/>
      <c r="S171" s="47"/>
      <c r="T171" s="47"/>
      <c r="U171" s="47"/>
      <c r="V171" s="47"/>
      <c r="W171" s="47"/>
      <c r="X171" s="47"/>
      <c r="Y171" s="47"/>
      <c r="Z171" s="47"/>
      <c r="AA171" s="47"/>
      <c r="AB171" s="47"/>
      <c r="AC171" s="47"/>
      <c r="AD171" s="47"/>
      <c r="AE171" s="47"/>
      <c r="AF171" s="47"/>
      <c r="AG171" s="47"/>
      <c r="AH171" s="47"/>
      <c r="AI171" s="47"/>
      <c r="AJ171" s="47"/>
      <c r="AK171" s="47"/>
      <c r="AL171" s="47"/>
      <c r="AM171" s="47"/>
      <c r="AN171" s="47"/>
      <c r="AO171" s="47"/>
      <c r="AP171" s="47"/>
      <c r="AQ171" s="47"/>
      <c r="AR171" s="47"/>
      <c r="AS171" s="47"/>
      <c r="AT171" s="47"/>
      <c r="AU171" s="47"/>
      <c r="AV171" s="47"/>
      <c r="AW171" s="47"/>
      <c r="AX171" s="49"/>
      <c r="AY171" s="11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</row>
    <row r="172" spans="1:156" ht="3.9" customHeight="1" x14ac:dyDescent="0.25">
      <c r="D172" s="5"/>
      <c r="E172" s="5"/>
      <c r="F172" s="54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  <c r="AL172" s="11"/>
      <c r="AM172" s="11"/>
      <c r="AN172" s="11"/>
      <c r="AO172" s="11"/>
      <c r="AP172" s="11"/>
      <c r="AQ172" s="11"/>
      <c r="AR172" s="11"/>
      <c r="AS172" s="11"/>
      <c r="AT172" s="11"/>
      <c r="AU172" s="11"/>
      <c r="AV172" s="11"/>
      <c r="AW172" s="11"/>
      <c r="AY172" s="11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</row>
    <row r="173" spans="1:156" ht="8.1" customHeight="1" thickBot="1" x14ac:dyDescent="0.3">
      <c r="D173" s="5"/>
      <c r="E173" s="5"/>
      <c r="F173" s="54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739" t="s">
        <v>58</v>
      </c>
      <c r="AL173" s="740"/>
      <c r="AM173" s="212" t="s">
        <v>59</v>
      </c>
      <c r="AN173" s="213"/>
      <c r="AO173" s="213"/>
      <c r="AP173" s="213"/>
      <c r="AQ173" s="213"/>
      <c r="AR173" s="213"/>
      <c r="AS173" s="213"/>
      <c r="AT173" s="213"/>
      <c r="AU173" s="213"/>
      <c r="AV173" s="213"/>
      <c r="AW173" s="741"/>
      <c r="AY173" s="11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</row>
    <row r="174" spans="1:156" ht="11.1" customHeight="1" thickBot="1" x14ac:dyDescent="0.3">
      <c r="D174" s="5"/>
      <c r="E174" s="5"/>
      <c r="G174" s="862" t="s">
        <v>444</v>
      </c>
      <c r="H174" s="863"/>
      <c r="I174" s="863"/>
      <c r="J174" s="863"/>
      <c r="K174" s="863"/>
      <c r="L174" s="863"/>
      <c r="M174" s="863"/>
      <c r="N174" s="863"/>
      <c r="O174" s="863"/>
      <c r="P174" s="863"/>
      <c r="Q174" s="863"/>
      <c r="R174" s="863"/>
      <c r="S174" s="863"/>
      <c r="T174" s="863"/>
      <c r="U174" s="863"/>
      <c r="V174" s="863"/>
      <c r="W174" s="863"/>
      <c r="X174" s="863"/>
      <c r="Y174" s="863"/>
      <c r="Z174" s="863"/>
      <c r="AA174" s="863"/>
      <c r="AB174" s="863"/>
      <c r="AC174" s="863"/>
      <c r="AD174" s="197"/>
      <c r="AE174" s="196" t="s">
        <v>46</v>
      </c>
      <c r="AF174" s="196"/>
      <c r="AG174" s="197"/>
      <c r="AH174" s="196" t="s">
        <v>80</v>
      </c>
      <c r="AI174" s="196"/>
      <c r="AK174" s="864"/>
      <c r="AL174" s="865"/>
      <c r="AM174" s="865"/>
      <c r="AN174" s="865"/>
      <c r="AO174" s="865"/>
      <c r="AP174" s="865"/>
      <c r="AQ174" s="865"/>
      <c r="AR174" s="865"/>
      <c r="AS174" s="865"/>
      <c r="AT174" s="865"/>
      <c r="AU174" s="865"/>
      <c r="AV174" s="865"/>
      <c r="AW174" s="866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</row>
    <row r="175" spans="1:156" s="11" customFormat="1" ht="3.9" customHeight="1" x14ac:dyDescent="0.25">
      <c r="A175" s="8"/>
      <c r="B175" s="8"/>
      <c r="C175" s="8"/>
      <c r="D175" s="8"/>
      <c r="E175" s="9" t="s">
        <v>9</v>
      </c>
      <c r="F175" s="54"/>
      <c r="AX175" s="12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DM175" s="12"/>
      <c r="DN175" s="12"/>
      <c r="DO175" s="12"/>
      <c r="DP175" s="12"/>
      <c r="DQ175" s="12"/>
      <c r="DR175" s="12"/>
      <c r="DS175" s="12"/>
      <c r="DT175" s="12"/>
      <c r="DU175" s="12"/>
      <c r="DV175" s="12"/>
      <c r="DW175" s="12"/>
      <c r="DX175" s="12"/>
      <c r="DY175" s="12"/>
      <c r="DZ175" s="12"/>
      <c r="EA175" s="12"/>
      <c r="EB175" s="12"/>
      <c r="EC175" s="12"/>
      <c r="ED175" s="12"/>
      <c r="EE175" s="12"/>
      <c r="EF175" s="12"/>
      <c r="EG175" s="12"/>
      <c r="EH175" s="12"/>
      <c r="EI175" s="12"/>
      <c r="EJ175" s="12"/>
      <c r="EK175" s="12"/>
      <c r="EL175" s="12"/>
      <c r="EM175" s="12"/>
      <c r="EN175" s="12"/>
      <c r="EO175" s="12"/>
      <c r="EP175" s="12"/>
      <c r="EQ175" s="12"/>
      <c r="ER175" s="12"/>
      <c r="ES175" s="12"/>
      <c r="ET175" s="12"/>
      <c r="EU175" s="12"/>
      <c r="EV175" s="12"/>
      <c r="EW175" s="12"/>
      <c r="EX175" s="12"/>
      <c r="EY175" s="12"/>
      <c r="EZ175" s="12"/>
    </row>
    <row r="176" spans="1:156" s="11" customFormat="1" ht="11.1" customHeight="1" x14ac:dyDescent="0.25">
      <c r="A176" s="8"/>
      <c r="B176" s="8"/>
      <c r="C176" s="8"/>
      <c r="D176" s="8"/>
      <c r="E176" s="9"/>
      <c r="F176" s="12"/>
      <c r="G176" s="288" t="s">
        <v>443</v>
      </c>
      <c r="H176" s="289"/>
      <c r="I176" s="289"/>
      <c r="J176" s="289"/>
      <c r="K176" s="289"/>
      <c r="L176" s="289"/>
      <c r="M176" s="289"/>
      <c r="N176" s="289"/>
      <c r="O176" s="289"/>
      <c r="P176" s="289"/>
      <c r="Q176" s="289"/>
      <c r="R176" s="289"/>
      <c r="S176" s="289"/>
      <c r="T176" s="289"/>
      <c r="U176" s="289"/>
      <c r="V176" s="289"/>
      <c r="W176" s="289"/>
      <c r="X176" s="289"/>
      <c r="Y176" s="289"/>
      <c r="Z176" s="289"/>
      <c r="AA176" s="289"/>
      <c r="AB176" s="289"/>
      <c r="AC176" s="289"/>
      <c r="AD176" s="289"/>
      <c r="AE176" s="289"/>
      <c r="AF176" s="289"/>
      <c r="AG176" s="289"/>
      <c r="AH176" s="289"/>
      <c r="AI176" s="289"/>
      <c r="AJ176" s="289"/>
      <c r="AK176" s="289"/>
      <c r="AL176" s="289"/>
      <c r="AM176" s="289"/>
      <c r="AN176" s="289"/>
      <c r="AO176" s="289"/>
      <c r="AP176" s="289"/>
      <c r="AQ176" s="289"/>
      <c r="AR176" s="289"/>
      <c r="AS176" s="289"/>
      <c r="AT176" s="289"/>
      <c r="AU176" s="289"/>
      <c r="AV176" s="289"/>
      <c r="AW176" s="290"/>
      <c r="AX176" s="12"/>
      <c r="AY176" s="12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M176" s="5"/>
      <c r="BN176" s="5"/>
      <c r="BO176" s="5"/>
      <c r="BP176" s="5"/>
      <c r="BQ176" s="5"/>
      <c r="BR176" s="5"/>
      <c r="BS176" s="5"/>
      <c r="BT176" s="5"/>
      <c r="DM176" s="12"/>
      <c r="DN176" s="12"/>
      <c r="DO176" s="12"/>
      <c r="DP176" s="12"/>
      <c r="DQ176" s="12"/>
      <c r="DR176" s="12"/>
      <c r="DS176" s="12"/>
      <c r="DT176" s="12"/>
      <c r="DU176" s="12"/>
      <c r="DV176" s="12"/>
      <c r="DW176" s="12"/>
      <c r="DX176" s="12"/>
      <c r="DY176" s="12"/>
      <c r="DZ176" s="12"/>
      <c r="EA176" s="12"/>
      <c r="EB176" s="12"/>
      <c r="EC176" s="12"/>
      <c r="ED176" s="12"/>
      <c r="EE176" s="12"/>
      <c r="EF176" s="12"/>
      <c r="EG176" s="12"/>
      <c r="EH176" s="12"/>
      <c r="EI176" s="12"/>
      <c r="EJ176" s="12"/>
      <c r="EK176" s="12"/>
      <c r="EL176" s="12"/>
      <c r="EM176" s="12"/>
      <c r="EN176" s="12"/>
      <c r="EO176" s="12"/>
      <c r="EP176" s="12"/>
      <c r="EQ176" s="12"/>
      <c r="ER176" s="12"/>
      <c r="ES176" s="12"/>
      <c r="ET176" s="12"/>
      <c r="EU176" s="12"/>
      <c r="EV176" s="12"/>
      <c r="EW176" s="12"/>
      <c r="EX176" s="12"/>
      <c r="EY176" s="12"/>
      <c r="EZ176" s="12"/>
    </row>
    <row r="177" spans="1:144" ht="11.1" customHeight="1" x14ac:dyDescent="0.25">
      <c r="A177" s="12"/>
      <c r="B177" s="12"/>
      <c r="C177" s="12"/>
      <c r="D177" s="12"/>
      <c r="E177" s="61"/>
      <c r="F177" s="44"/>
      <c r="G177" s="840"/>
      <c r="H177" s="841"/>
      <c r="I177" s="841"/>
      <c r="J177" s="841"/>
      <c r="K177" s="841"/>
      <c r="L177" s="841"/>
      <c r="M177" s="841"/>
      <c r="N177" s="841"/>
      <c r="O177" s="841"/>
      <c r="P177" s="841"/>
      <c r="Q177" s="841"/>
      <c r="R177" s="841"/>
      <c r="S177" s="841"/>
      <c r="T177" s="841"/>
      <c r="U177" s="841"/>
      <c r="V177" s="841"/>
      <c r="W177" s="841"/>
      <c r="X177" s="841"/>
      <c r="Y177" s="841"/>
      <c r="Z177" s="841"/>
      <c r="AA177" s="841"/>
      <c r="AB177" s="841"/>
      <c r="AC177" s="841"/>
      <c r="AD177" s="841"/>
      <c r="AE177" s="841"/>
      <c r="AF177" s="841"/>
      <c r="AG177" s="841"/>
      <c r="AH177" s="841"/>
      <c r="AI177" s="841"/>
      <c r="AJ177" s="841"/>
      <c r="AK177" s="841"/>
      <c r="AL177" s="841"/>
      <c r="AM177" s="841"/>
      <c r="AN177" s="841"/>
      <c r="AO177" s="841"/>
      <c r="AP177" s="841"/>
      <c r="AQ177" s="841"/>
      <c r="AR177" s="841"/>
      <c r="AS177" s="841"/>
      <c r="AT177" s="841"/>
      <c r="AU177" s="841"/>
      <c r="AV177" s="841"/>
      <c r="AW177" s="842"/>
      <c r="AY177" s="11"/>
      <c r="BA177" s="12"/>
      <c r="BB177" s="12"/>
      <c r="BC177" s="62"/>
      <c r="BD177" s="42"/>
      <c r="BE177" s="12"/>
      <c r="BF177" s="12"/>
      <c r="BG177" s="12"/>
      <c r="BH177" s="12"/>
      <c r="BI177" s="12"/>
      <c r="BM177" s="5"/>
      <c r="BN177" s="5"/>
      <c r="BO177" s="5"/>
      <c r="BP177" s="5"/>
      <c r="BQ177" s="5"/>
      <c r="BR177" s="5"/>
      <c r="BS177" s="5"/>
      <c r="BT177" s="5"/>
      <c r="BU177" s="12"/>
      <c r="CN177" s="12"/>
      <c r="CO177" s="12"/>
      <c r="DI177" s="12"/>
      <c r="DJ177" s="12"/>
      <c r="DK177" s="12"/>
      <c r="DL177" s="12"/>
    </row>
    <row r="178" spans="1:144" ht="11.1" customHeight="1" x14ac:dyDescent="0.25">
      <c r="A178" s="12"/>
      <c r="B178" s="12"/>
      <c r="C178" s="12"/>
      <c r="D178" s="12"/>
      <c r="E178" s="61"/>
      <c r="F178" s="44"/>
      <c r="G178" s="843"/>
      <c r="H178" s="844"/>
      <c r="I178" s="844"/>
      <c r="J178" s="844"/>
      <c r="K178" s="844"/>
      <c r="L178" s="844"/>
      <c r="M178" s="844"/>
      <c r="N178" s="844"/>
      <c r="O178" s="844"/>
      <c r="P178" s="844"/>
      <c r="Q178" s="844"/>
      <c r="R178" s="844"/>
      <c r="S178" s="844"/>
      <c r="T178" s="844"/>
      <c r="U178" s="844"/>
      <c r="V178" s="844"/>
      <c r="W178" s="844"/>
      <c r="X178" s="844"/>
      <c r="Y178" s="844"/>
      <c r="Z178" s="844"/>
      <c r="AA178" s="844"/>
      <c r="AB178" s="844"/>
      <c r="AC178" s="844"/>
      <c r="AD178" s="844"/>
      <c r="AE178" s="844"/>
      <c r="AF178" s="844"/>
      <c r="AG178" s="844"/>
      <c r="AH178" s="844"/>
      <c r="AI178" s="844"/>
      <c r="AJ178" s="844"/>
      <c r="AK178" s="844"/>
      <c r="AL178" s="844"/>
      <c r="AM178" s="844"/>
      <c r="AN178" s="844"/>
      <c r="AO178" s="844"/>
      <c r="AP178" s="844"/>
      <c r="AQ178" s="844"/>
      <c r="AR178" s="844"/>
      <c r="AS178" s="844"/>
      <c r="AT178" s="844"/>
      <c r="AU178" s="844"/>
      <c r="AV178" s="844"/>
      <c r="AW178" s="845"/>
      <c r="AY178" s="11"/>
      <c r="BA178" s="12"/>
      <c r="BB178" s="12"/>
      <c r="BC178" s="62"/>
      <c r="BD178" s="42"/>
      <c r="BE178" s="12"/>
      <c r="BF178" s="12"/>
      <c r="BG178" s="12"/>
      <c r="BH178" s="12"/>
      <c r="BI178" s="12"/>
      <c r="BM178" s="5"/>
      <c r="BN178" s="5"/>
      <c r="BO178" s="5"/>
      <c r="BP178" s="5"/>
      <c r="BQ178" s="5"/>
      <c r="BR178" s="5"/>
      <c r="BS178" s="5"/>
      <c r="BT178" s="5"/>
      <c r="BU178" s="12"/>
      <c r="CN178" s="12"/>
      <c r="CO178" s="12"/>
      <c r="DI178" s="12"/>
      <c r="DJ178" s="12"/>
      <c r="DK178" s="12"/>
      <c r="DL178" s="12"/>
    </row>
    <row r="179" spans="1:144" ht="11.1" customHeight="1" x14ac:dyDescent="0.25">
      <c r="A179" s="12"/>
      <c r="B179" s="12"/>
      <c r="C179" s="12"/>
      <c r="D179" s="12"/>
      <c r="E179" s="61"/>
      <c r="F179" s="44"/>
      <c r="G179" s="843"/>
      <c r="H179" s="844"/>
      <c r="I179" s="844"/>
      <c r="J179" s="844"/>
      <c r="K179" s="844"/>
      <c r="L179" s="844"/>
      <c r="M179" s="844"/>
      <c r="N179" s="844"/>
      <c r="O179" s="844"/>
      <c r="P179" s="844"/>
      <c r="Q179" s="844"/>
      <c r="R179" s="844"/>
      <c r="S179" s="844"/>
      <c r="T179" s="844"/>
      <c r="U179" s="844"/>
      <c r="V179" s="844"/>
      <c r="W179" s="844"/>
      <c r="X179" s="844"/>
      <c r="Y179" s="844"/>
      <c r="Z179" s="844"/>
      <c r="AA179" s="844"/>
      <c r="AB179" s="844"/>
      <c r="AC179" s="844"/>
      <c r="AD179" s="844"/>
      <c r="AE179" s="844"/>
      <c r="AF179" s="844"/>
      <c r="AG179" s="844"/>
      <c r="AH179" s="844"/>
      <c r="AI179" s="844"/>
      <c r="AJ179" s="844"/>
      <c r="AK179" s="844"/>
      <c r="AL179" s="844"/>
      <c r="AM179" s="844"/>
      <c r="AN179" s="844"/>
      <c r="AO179" s="844"/>
      <c r="AP179" s="844"/>
      <c r="AQ179" s="844"/>
      <c r="AR179" s="844"/>
      <c r="AS179" s="844"/>
      <c r="AT179" s="844"/>
      <c r="AU179" s="844"/>
      <c r="AV179" s="844"/>
      <c r="AW179" s="845"/>
      <c r="AY179" s="11"/>
      <c r="BA179" s="12"/>
      <c r="BB179" s="12"/>
      <c r="BC179" s="62"/>
      <c r="BD179" s="42"/>
      <c r="BE179" s="12"/>
      <c r="BF179" s="12"/>
      <c r="BG179" s="12"/>
      <c r="BH179" s="12"/>
      <c r="BI179" s="12"/>
      <c r="BM179" s="5"/>
      <c r="BN179" s="5"/>
      <c r="BO179" s="5"/>
      <c r="BP179" s="5"/>
      <c r="BQ179" s="5"/>
      <c r="BR179" s="5"/>
      <c r="BS179" s="5"/>
      <c r="BT179" s="5"/>
      <c r="BU179" s="12"/>
      <c r="CN179" s="12"/>
      <c r="CO179" s="12"/>
      <c r="DI179" s="12"/>
      <c r="DJ179" s="12"/>
      <c r="DK179" s="12"/>
      <c r="DL179" s="12"/>
    </row>
    <row r="180" spans="1:144" ht="11.1" customHeight="1" x14ac:dyDescent="0.25">
      <c r="A180" s="12"/>
      <c r="B180" s="12"/>
      <c r="C180" s="12"/>
      <c r="D180" s="12"/>
      <c r="E180" s="61"/>
      <c r="F180" s="44"/>
      <c r="G180" s="843"/>
      <c r="H180" s="844"/>
      <c r="I180" s="844"/>
      <c r="J180" s="844"/>
      <c r="K180" s="844"/>
      <c r="L180" s="844"/>
      <c r="M180" s="844"/>
      <c r="N180" s="844"/>
      <c r="O180" s="844"/>
      <c r="P180" s="844"/>
      <c r="Q180" s="844"/>
      <c r="R180" s="844"/>
      <c r="S180" s="844"/>
      <c r="T180" s="844"/>
      <c r="U180" s="844"/>
      <c r="V180" s="844"/>
      <c r="W180" s="844"/>
      <c r="X180" s="844"/>
      <c r="Y180" s="844"/>
      <c r="Z180" s="844"/>
      <c r="AA180" s="844"/>
      <c r="AB180" s="844"/>
      <c r="AC180" s="844"/>
      <c r="AD180" s="844"/>
      <c r="AE180" s="844"/>
      <c r="AF180" s="844"/>
      <c r="AG180" s="844"/>
      <c r="AH180" s="844"/>
      <c r="AI180" s="844"/>
      <c r="AJ180" s="844"/>
      <c r="AK180" s="844"/>
      <c r="AL180" s="844"/>
      <c r="AM180" s="844"/>
      <c r="AN180" s="844"/>
      <c r="AO180" s="844"/>
      <c r="AP180" s="844"/>
      <c r="AQ180" s="844"/>
      <c r="AR180" s="844"/>
      <c r="AS180" s="844"/>
      <c r="AT180" s="844"/>
      <c r="AU180" s="844"/>
      <c r="AV180" s="844"/>
      <c r="AW180" s="845"/>
      <c r="AY180" s="11"/>
      <c r="BA180" s="12"/>
      <c r="BB180" s="12"/>
      <c r="BC180" s="62"/>
      <c r="BD180" s="42"/>
      <c r="BE180" s="12"/>
      <c r="BF180" s="12"/>
      <c r="BG180" s="12"/>
      <c r="BH180" s="12"/>
      <c r="BI180" s="12"/>
      <c r="BM180" s="5"/>
      <c r="BN180" s="5"/>
      <c r="BO180" s="5"/>
      <c r="BP180" s="5"/>
      <c r="BQ180" s="5"/>
      <c r="BR180" s="5"/>
      <c r="BS180" s="5"/>
      <c r="BT180" s="5"/>
      <c r="BU180" s="12"/>
      <c r="CN180" s="12"/>
      <c r="CO180" s="12"/>
      <c r="DI180" s="12"/>
      <c r="DJ180" s="12"/>
      <c r="DK180" s="12"/>
      <c r="DL180" s="12"/>
    </row>
    <row r="181" spans="1:144" ht="11.1" customHeight="1" x14ac:dyDescent="0.25">
      <c r="A181" s="12"/>
      <c r="B181" s="12"/>
      <c r="C181" s="12"/>
      <c r="D181" s="12"/>
      <c r="E181" s="61"/>
      <c r="F181" s="44"/>
      <c r="G181" s="843"/>
      <c r="H181" s="844"/>
      <c r="I181" s="844"/>
      <c r="J181" s="844"/>
      <c r="K181" s="844"/>
      <c r="L181" s="844"/>
      <c r="M181" s="844"/>
      <c r="N181" s="844"/>
      <c r="O181" s="844"/>
      <c r="P181" s="844"/>
      <c r="Q181" s="844"/>
      <c r="R181" s="844"/>
      <c r="S181" s="844"/>
      <c r="T181" s="844"/>
      <c r="U181" s="844"/>
      <c r="V181" s="844"/>
      <c r="W181" s="844"/>
      <c r="X181" s="844"/>
      <c r="Y181" s="844"/>
      <c r="Z181" s="844"/>
      <c r="AA181" s="844"/>
      <c r="AB181" s="844"/>
      <c r="AC181" s="844"/>
      <c r="AD181" s="844"/>
      <c r="AE181" s="844"/>
      <c r="AF181" s="844"/>
      <c r="AG181" s="844"/>
      <c r="AH181" s="844"/>
      <c r="AI181" s="844"/>
      <c r="AJ181" s="844"/>
      <c r="AK181" s="844"/>
      <c r="AL181" s="844"/>
      <c r="AM181" s="844"/>
      <c r="AN181" s="844"/>
      <c r="AO181" s="844"/>
      <c r="AP181" s="844"/>
      <c r="AQ181" s="844"/>
      <c r="AR181" s="844"/>
      <c r="AS181" s="844"/>
      <c r="AT181" s="844"/>
      <c r="AU181" s="844"/>
      <c r="AV181" s="844"/>
      <c r="AW181" s="845"/>
      <c r="AY181" s="11"/>
      <c r="BA181" s="12"/>
      <c r="BB181" s="12"/>
      <c r="BC181" s="62"/>
      <c r="BD181" s="42"/>
      <c r="BE181" s="12"/>
      <c r="BF181" s="12"/>
      <c r="BG181" s="12"/>
      <c r="BH181" s="12"/>
      <c r="BI181" s="12"/>
      <c r="BM181" s="5"/>
      <c r="BN181" s="5"/>
      <c r="BO181" s="5"/>
      <c r="BP181" s="5"/>
      <c r="BQ181" s="5"/>
      <c r="BR181" s="5"/>
      <c r="BS181" s="5"/>
      <c r="BT181" s="5"/>
      <c r="BU181" s="12"/>
      <c r="CN181" s="12"/>
      <c r="CO181" s="12"/>
      <c r="DI181" s="12"/>
      <c r="DJ181" s="12"/>
      <c r="DK181" s="12"/>
      <c r="DL181" s="12"/>
    </row>
    <row r="182" spans="1:144" ht="11.1" customHeight="1" x14ac:dyDescent="0.25">
      <c r="A182" s="12"/>
      <c r="B182" s="12"/>
      <c r="C182" s="12"/>
      <c r="D182" s="12"/>
      <c r="E182" s="61"/>
      <c r="F182" s="44"/>
      <c r="G182" s="843"/>
      <c r="H182" s="844"/>
      <c r="I182" s="844"/>
      <c r="J182" s="844"/>
      <c r="K182" s="844"/>
      <c r="L182" s="844"/>
      <c r="M182" s="844"/>
      <c r="N182" s="844"/>
      <c r="O182" s="844"/>
      <c r="P182" s="844"/>
      <c r="Q182" s="844"/>
      <c r="R182" s="844"/>
      <c r="S182" s="844"/>
      <c r="T182" s="844"/>
      <c r="U182" s="844"/>
      <c r="V182" s="844"/>
      <c r="W182" s="844"/>
      <c r="X182" s="844"/>
      <c r="Y182" s="844"/>
      <c r="Z182" s="844"/>
      <c r="AA182" s="844"/>
      <c r="AB182" s="844"/>
      <c r="AC182" s="844"/>
      <c r="AD182" s="844"/>
      <c r="AE182" s="844"/>
      <c r="AF182" s="844"/>
      <c r="AG182" s="844"/>
      <c r="AH182" s="844"/>
      <c r="AI182" s="844"/>
      <c r="AJ182" s="844"/>
      <c r="AK182" s="844"/>
      <c r="AL182" s="844"/>
      <c r="AM182" s="844"/>
      <c r="AN182" s="844"/>
      <c r="AO182" s="844"/>
      <c r="AP182" s="844"/>
      <c r="AQ182" s="844"/>
      <c r="AR182" s="844"/>
      <c r="AS182" s="844"/>
      <c r="AT182" s="844"/>
      <c r="AU182" s="844"/>
      <c r="AV182" s="844"/>
      <c r="AW182" s="845"/>
      <c r="AY182" s="11"/>
      <c r="BA182" s="12"/>
      <c r="BB182" s="12"/>
      <c r="BC182" s="62"/>
      <c r="BD182" s="42"/>
      <c r="BE182" s="12"/>
      <c r="BF182" s="12"/>
      <c r="BG182" s="12"/>
      <c r="BH182" s="12"/>
      <c r="BI182" s="12"/>
      <c r="BM182" s="5"/>
      <c r="BN182" s="5"/>
      <c r="BO182" s="5"/>
      <c r="BP182" s="5"/>
      <c r="BQ182" s="5"/>
      <c r="BR182" s="5"/>
      <c r="BS182" s="5"/>
      <c r="BT182" s="5"/>
      <c r="BU182" s="12"/>
      <c r="CN182" s="12"/>
      <c r="CO182" s="12"/>
      <c r="DI182" s="12"/>
      <c r="DJ182" s="12"/>
      <c r="DK182" s="12"/>
      <c r="DL182" s="12"/>
    </row>
    <row r="183" spans="1:144" ht="11.1" customHeight="1" x14ac:dyDescent="0.25">
      <c r="A183" s="12"/>
      <c r="B183" s="12"/>
      <c r="C183" s="12"/>
      <c r="D183" s="12"/>
      <c r="E183" s="61"/>
      <c r="F183" s="44"/>
      <c r="G183" s="843"/>
      <c r="H183" s="844"/>
      <c r="I183" s="844"/>
      <c r="J183" s="844"/>
      <c r="K183" s="844"/>
      <c r="L183" s="844"/>
      <c r="M183" s="844"/>
      <c r="N183" s="844"/>
      <c r="O183" s="844"/>
      <c r="P183" s="844"/>
      <c r="Q183" s="844"/>
      <c r="R183" s="844"/>
      <c r="S183" s="844"/>
      <c r="T183" s="844"/>
      <c r="U183" s="844"/>
      <c r="V183" s="844"/>
      <c r="W183" s="844"/>
      <c r="X183" s="844"/>
      <c r="Y183" s="844"/>
      <c r="Z183" s="844"/>
      <c r="AA183" s="844"/>
      <c r="AB183" s="844"/>
      <c r="AC183" s="844"/>
      <c r="AD183" s="844"/>
      <c r="AE183" s="844"/>
      <c r="AF183" s="844"/>
      <c r="AG183" s="844"/>
      <c r="AH183" s="844"/>
      <c r="AI183" s="844"/>
      <c r="AJ183" s="844"/>
      <c r="AK183" s="844"/>
      <c r="AL183" s="844"/>
      <c r="AM183" s="844"/>
      <c r="AN183" s="844"/>
      <c r="AO183" s="844"/>
      <c r="AP183" s="844"/>
      <c r="AQ183" s="844"/>
      <c r="AR183" s="844"/>
      <c r="AS183" s="844"/>
      <c r="AT183" s="844"/>
      <c r="AU183" s="844"/>
      <c r="AV183" s="844"/>
      <c r="AW183" s="845"/>
      <c r="AY183" s="11"/>
      <c r="BA183" s="12"/>
      <c r="BB183" s="12"/>
      <c r="BC183" s="62"/>
      <c r="BD183" s="42"/>
      <c r="BE183" s="12"/>
      <c r="BF183" s="12"/>
      <c r="BG183" s="12"/>
      <c r="BH183" s="12"/>
      <c r="BI183" s="12"/>
      <c r="BM183" s="5"/>
      <c r="BN183" s="5"/>
      <c r="BO183" s="5"/>
      <c r="CR183" s="12"/>
      <c r="CS183" s="12"/>
      <c r="CT183" s="12"/>
      <c r="CU183" s="12"/>
      <c r="CV183" s="12"/>
      <c r="CW183" s="12"/>
      <c r="CX183" s="12"/>
      <c r="CY183" s="12"/>
      <c r="CZ183" s="12"/>
      <c r="DA183" s="12"/>
      <c r="DB183" s="12"/>
      <c r="DC183" s="12"/>
      <c r="DD183" s="12"/>
      <c r="DE183" s="12"/>
      <c r="DF183" s="12"/>
      <c r="DG183" s="12"/>
      <c r="DH183" s="12"/>
      <c r="DI183" s="12"/>
      <c r="DJ183" s="12"/>
      <c r="DK183" s="12"/>
      <c r="DL183" s="12"/>
    </row>
    <row r="184" spans="1:144" ht="11.1" customHeight="1" x14ac:dyDescent="0.25">
      <c r="A184" s="12"/>
      <c r="B184" s="12"/>
      <c r="C184" s="12"/>
      <c r="D184" s="12"/>
      <c r="E184" s="61"/>
      <c r="F184" s="44"/>
      <c r="G184" s="846"/>
      <c r="H184" s="847"/>
      <c r="I184" s="847"/>
      <c r="J184" s="847"/>
      <c r="K184" s="847"/>
      <c r="L184" s="847"/>
      <c r="M184" s="847"/>
      <c r="N184" s="847"/>
      <c r="O184" s="847"/>
      <c r="P184" s="847"/>
      <c r="Q184" s="847"/>
      <c r="R184" s="847"/>
      <c r="S184" s="847"/>
      <c r="T184" s="847"/>
      <c r="U184" s="847"/>
      <c r="V184" s="847"/>
      <c r="W184" s="847"/>
      <c r="X184" s="847"/>
      <c r="Y184" s="847"/>
      <c r="Z184" s="847"/>
      <c r="AA184" s="847"/>
      <c r="AB184" s="847"/>
      <c r="AC184" s="847"/>
      <c r="AD184" s="847"/>
      <c r="AE184" s="847"/>
      <c r="AF184" s="847"/>
      <c r="AG184" s="847"/>
      <c r="AH184" s="847"/>
      <c r="AI184" s="847"/>
      <c r="AJ184" s="847"/>
      <c r="AK184" s="847"/>
      <c r="AL184" s="847"/>
      <c r="AM184" s="847"/>
      <c r="AN184" s="847"/>
      <c r="AO184" s="847"/>
      <c r="AP184" s="847"/>
      <c r="AQ184" s="847"/>
      <c r="AR184" s="847"/>
      <c r="AS184" s="847"/>
      <c r="AT184" s="847"/>
      <c r="AU184" s="847"/>
      <c r="AV184" s="847"/>
      <c r="AW184" s="848"/>
      <c r="AY184" s="11"/>
      <c r="BA184" s="12"/>
      <c r="BB184" s="12"/>
      <c r="BC184" s="62"/>
      <c r="BD184" s="42"/>
      <c r="BE184" s="12"/>
      <c r="BF184" s="12"/>
      <c r="BG184" s="12"/>
      <c r="BH184" s="12"/>
      <c r="BI184" s="12"/>
      <c r="BM184" s="5"/>
      <c r="BN184" s="5"/>
      <c r="BO184" s="5"/>
      <c r="BU184" s="12"/>
      <c r="BV184" s="12"/>
      <c r="BW184" s="12"/>
      <c r="BX184" s="12"/>
      <c r="BY184" s="12"/>
      <c r="CL184" s="12"/>
      <c r="CM184" s="12"/>
      <c r="CN184" s="12"/>
      <c r="CO184" s="12"/>
      <c r="CP184" s="12"/>
      <c r="CQ184" s="12"/>
      <c r="CR184" s="12"/>
      <c r="CS184" s="12"/>
      <c r="CT184" s="12"/>
      <c r="CU184" s="12"/>
      <c r="CV184" s="12"/>
      <c r="CW184" s="12"/>
      <c r="CX184" s="12"/>
      <c r="CY184" s="12"/>
      <c r="CZ184" s="12"/>
      <c r="DA184" s="12"/>
      <c r="DB184" s="12"/>
      <c r="DC184" s="12"/>
      <c r="DD184" s="12"/>
      <c r="DE184" s="12"/>
      <c r="DF184" s="12"/>
      <c r="DG184" s="12"/>
      <c r="DH184" s="12"/>
      <c r="DI184" s="12"/>
      <c r="DJ184" s="12"/>
      <c r="DK184" s="12"/>
      <c r="DL184" s="12"/>
    </row>
    <row r="185" spans="1:144" ht="9" customHeight="1" x14ac:dyDescent="0.25">
      <c r="D185" s="5"/>
      <c r="E185" s="5"/>
      <c r="AC185" s="179"/>
      <c r="AD185" s="180"/>
      <c r="AE185" s="180"/>
      <c r="AF185" s="180"/>
      <c r="AG185" s="180"/>
      <c r="AH185" s="180"/>
      <c r="AI185" s="180"/>
      <c r="AJ185" s="180"/>
      <c r="AK185" s="180"/>
      <c r="AL185" s="180"/>
      <c r="AM185" s="180"/>
      <c r="AN185" s="180"/>
      <c r="AO185" s="180"/>
      <c r="AP185" s="180"/>
      <c r="AQ185" s="180"/>
      <c r="AR185" s="180"/>
      <c r="AS185" s="180"/>
      <c r="AT185" s="180"/>
      <c r="AU185" s="180"/>
      <c r="AV185" s="180"/>
      <c r="AW185" s="180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CA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EB185" s="11"/>
      <c r="EC185" s="11"/>
      <c r="ED185" s="11"/>
      <c r="EE185" s="11"/>
      <c r="EF185" s="11"/>
      <c r="EG185" s="11"/>
      <c r="EH185" s="11"/>
      <c r="EI185" s="11"/>
      <c r="EJ185" s="11"/>
      <c r="EK185" s="11"/>
      <c r="EL185" s="11"/>
      <c r="EM185" s="11"/>
      <c r="EN185" s="11"/>
    </row>
    <row r="186" spans="1:144" ht="12" customHeight="1" x14ac:dyDescent="0.25">
      <c r="D186" s="5"/>
      <c r="E186" s="5"/>
      <c r="H186" s="594"/>
      <c r="I186" s="594"/>
      <c r="J186" s="594"/>
      <c r="K186" s="594"/>
      <c r="L186" s="594"/>
      <c r="M186" s="594"/>
      <c r="N186" s="594"/>
      <c r="O186" s="594"/>
      <c r="P186" s="594"/>
      <c r="Q186" s="594"/>
      <c r="R186" s="594"/>
      <c r="S186" s="594"/>
      <c r="T186" s="594"/>
      <c r="U186" s="594"/>
      <c r="V186" s="594"/>
      <c r="W186" s="594"/>
      <c r="X186" s="594"/>
      <c r="Y186" s="594"/>
      <c r="Z186" s="594"/>
      <c r="AC186" s="179"/>
      <c r="AD186" s="180"/>
      <c r="AE186" s="181"/>
      <c r="AF186" s="861"/>
      <c r="AG186" s="861"/>
      <c r="AH186" s="861"/>
      <c r="AI186" s="861"/>
      <c r="AJ186" s="861"/>
      <c r="AK186" s="861"/>
      <c r="AL186" s="861"/>
      <c r="AM186" s="861"/>
      <c r="AN186" s="861"/>
      <c r="AO186" s="861"/>
      <c r="AP186" s="861"/>
      <c r="AQ186" s="861"/>
      <c r="AR186" s="861"/>
      <c r="AS186" s="861"/>
      <c r="AT186" s="861"/>
      <c r="AU186" s="861"/>
      <c r="AV186" s="861"/>
      <c r="AW186" s="861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11"/>
      <c r="DN186" s="11"/>
      <c r="DO186" s="11"/>
      <c r="DP186" s="11"/>
      <c r="DQ186" s="11"/>
      <c r="DR186" s="11"/>
      <c r="DS186" s="11"/>
      <c r="DT186" s="11"/>
      <c r="DU186" s="11"/>
      <c r="DV186" s="11"/>
      <c r="DW186" s="11"/>
      <c r="DX186" s="11"/>
      <c r="DY186" s="11"/>
      <c r="DZ186" s="11"/>
      <c r="EA186" s="11"/>
      <c r="EB186" s="11"/>
      <c r="EC186" s="11"/>
      <c r="ED186" s="11"/>
      <c r="EE186" s="11"/>
      <c r="EF186" s="11"/>
      <c r="EG186" s="11"/>
      <c r="EH186" s="11"/>
      <c r="EI186" s="11"/>
      <c r="EJ186" s="11"/>
      <c r="EK186" s="11"/>
      <c r="EL186" s="11"/>
      <c r="EM186" s="11"/>
      <c r="EN186" s="11"/>
    </row>
    <row r="187" spans="1:144" ht="12" customHeight="1" x14ac:dyDescent="0.25">
      <c r="D187" s="5"/>
      <c r="E187" s="5"/>
      <c r="H187" s="58" t="s">
        <v>18</v>
      </c>
      <c r="I187" s="650" t="s">
        <v>19</v>
      </c>
      <c r="J187" s="651"/>
      <c r="K187" s="651"/>
      <c r="L187" s="651"/>
      <c r="M187" s="651"/>
      <c r="N187" s="651"/>
      <c r="O187" s="651"/>
      <c r="P187" s="651"/>
      <c r="Q187" s="651"/>
      <c r="R187" s="651"/>
      <c r="S187" s="651"/>
      <c r="T187" s="651"/>
      <c r="U187" s="651"/>
      <c r="V187" s="651"/>
      <c r="W187" s="651"/>
      <c r="X187" s="651"/>
      <c r="Y187" s="651"/>
      <c r="Z187" s="651"/>
      <c r="AC187" s="179"/>
      <c r="AD187" s="180"/>
      <c r="AE187" s="182"/>
      <c r="AF187" s="794"/>
      <c r="AG187" s="794"/>
      <c r="AH187" s="794"/>
      <c r="AI187" s="794"/>
      <c r="AJ187" s="794"/>
      <c r="AK187" s="794"/>
      <c r="AL187" s="794"/>
      <c r="AM187" s="794"/>
      <c r="AN187" s="794"/>
      <c r="AO187" s="794"/>
      <c r="AP187" s="794"/>
      <c r="AQ187" s="794"/>
      <c r="AR187" s="794"/>
      <c r="AS187" s="794"/>
      <c r="AT187" s="794"/>
      <c r="AU187" s="794"/>
      <c r="AV187" s="794"/>
      <c r="AW187" s="794"/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11"/>
      <c r="DN187" s="11"/>
      <c r="DO187" s="11"/>
      <c r="DP187" s="11"/>
      <c r="DQ187" s="11"/>
      <c r="DR187" s="11"/>
      <c r="DS187" s="11"/>
      <c r="DT187" s="11"/>
      <c r="DU187" s="11"/>
      <c r="DV187" s="11"/>
      <c r="DW187" s="11"/>
      <c r="DX187" s="11"/>
      <c r="DY187" s="11"/>
      <c r="DZ187" s="11"/>
      <c r="EA187" s="11"/>
      <c r="EB187" s="11"/>
      <c r="EC187" s="11"/>
      <c r="ED187" s="11"/>
      <c r="EE187" s="11"/>
      <c r="EF187" s="11"/>
      <c r="EG187" s="11"/>
      <c r="EH187" s="11"/>
      <c r="EI187" s="11"/>
      <c r="EJ187" s="11"/>
      <c r="EK187" s="11"/>
      <c r="EL187" s="11"/>
      <c r="EM187" s="11"/>
      <c r="EN187" s="11"/>
    </row>
    <row r="188" spans="1:144" ht="12" customHeight="1" x14ac:dyDescent="0.25">
      <c r="D188" s="5"/>
      <c r="E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C188" s="179"/>
      <c r="AD188" s="180"/>
      <c r="AE188" s="182"/>
      <c r="AF188" s="794"/>
      <c r="AG188" s="794"/>
      <c r="AH188" s="794"/>
      <c r="AI188" s="794"/>
      <c r="AJ188" s="794"/>
      <c r="AK188" s="794"/>
      <c r="AL188" s="794"/>
      <c r="AM188" s="794"/>
      <c r="AN188" s="794"/>
      <c r="AO188" s="794"/>
      <c r="AP188" s="794"/>
      <c r="AQ188" s="794"/>
      <c r="AR188" s="794"/>
      <c r="AS188" s="794"/>
      <c r="AT188" s="794"/>
      <c r="AU188" s="794"/>
      <c r="AV188" s="794"/>
      <c r="AW188" s="794"/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11"/>
      <c r="DN188" s="11"/>
      <c r="DO188" s="11"/>
      <c r="DP188" s="11"/>
      <c r="DQ188" s="11"/>
      <c r="DR188" s="11"/>
      <c r="DS188" s="11"/>
      <c r="DT188" s="11"/>
      <c r="DU188" s="11"/>
      <c r="DV188" s="11"/>
      <c r="DW188" s="11"/>
      <c r="DX188" s="11"/>
      <c r="DY188" s="11"/>
      <c r="DZ188" s="11"/>
      <c r="EA188" s="11"/>
      <c r="EB188" s="11"/>
      <c r="EC188" s="11"/>
      <c r="ED188" s="11"/>
      <c r="EE188" s="11"/>
      <c r="EF188" s="11"/>
      <c r="EG188" s="11"/>
      <c r="EH188" s="11"/>
      <c r="EI188" s="11"/>
      <c r="EJ188" s="11"/>
      <c r="EK188" s="11"/>
      <c r="EL188" s="11"/>
      <c r="EM188" s="11"/>
      <c r="EN188" s="11"/>
    </row>
    <row r="189" spans="1:144" ht="12" customHeight="1" x14ac:dyDescent="0.25">
      <c r="D189" s="5"/>
      <c r="E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11"/>
      <c r="DN189" s="11"/>
      <c r="DO189" s="11"/>
      <c r="DP189" s="11"/>
      <c r="DQ189" s="11"/>
      <c r="DR189" s="11"/>
      <c r="DS189" s="11"/>
      <c r="DT189" s="11"/>
      <c r="DU189" s="11"/>
      <c r="DV189" s="11"/>
      <c r="DW189" s="11"/>
      <c r="DX189" s="11"/>
      <c r="DY189" s="11"/>
      <c r="DZ189" s="11"/>
      <c r="EA189" s="11"/>
      <c r="EB189" s="11"/>
      <c r="EC189" s="11"/>
      <c r="ED189" s="11"/>
      <c r="EE189" s="11"/>
      <c r="EF189" s="11"/>
      <c r="EG189" s="11"/>
      <c r="EH189" s="11"/>
      <c r="EI189" s="11"/>
      <c r="EJ189" s="11"/>
      <c r="EK189" s="11"/>
      <c r="EL189" s="11"/>
      <c r="EM189" s="11"/>
      <c r="EN189" s="11"/>
    </row>
    <row r="190" spans="1:144" ht="12" customHeight="1" x14ac:dyDescent="0.25">
      <c r="D190" s="5"/>
      <c r="E190" s="5"/>
      <c r="I190" s="57" t="s">
        <v>22</v>
      </c>
      <c r="J190" s="283" t="s">
        <v>463</v>
      </c>
      <c r="K190" s="284"/>
      <c r="L190" s="284"/>
      <c r="M190" s="284"/>
      <c r="N190" s="284"/>
      <c r="O190" s="284"/>
      <c r="P190" s="284"/>
      <c r="Q190" s="284"/>
      <c r="R190" s="284"/>
      <c r="S190" s="284"/>
      <c r="T190" s="284"/>
      <c r="U190" s="284"/>
      <c r="V190" s="284"/>
      <c r="W190" s="284"/>
      <c r="X190" s="284"/>
      <c r="Y190" s="284"/>
      <c r="Z190" s="284"/>
      <c r="AA190" s="284"/>
      <c r="AE190" s="57" t="s">
        <v>66</v>
      </c>
      <c r="AF190" s="283" t="s">
        <v>441</v>
      </c>
      <c r="AG190" s="284"/>
      <c r="AH190" s="284"/>
      <c r="AI190" s="284"/>
      <c r="AJ190" s="284"/>
      <c r="AK190" s="284"/>
      <c r="AL190" s="284"/>
      <c r="AM190" s="284"/>
      <c r="AN190" s="284"/>
      <c r="AO190" s="284"/>
      <c r="AP190" s="284"/>
      <c r="AQ190" s="284"/>
      <c r="AR190" s="284"/>
      <c r="AS190" s="284"/>
      <c r="AT190" s="284"/>
      <c r="AU190" s="284"/>
      <c r="AV190" s="284"/>
      <c r="AW190" s="284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11"/>
      <c r="DN190" s="11"/>
      <c r="DO190" s="11"/>
      <c r="DP190" s="11"/>
      <c r="DQ190" s="11"/>
      <c r="DR190" s="11"/>
      <c r="DS190" s="11"/>
      <c r="DT190" s="11"/>
      <c r="DU190" s="11"/>
      <c r="DV190" s="11"/>
      <c r="DW190" s="11"/>
      <c r="DX190" s="11"/>
      <c r="DY190" s="11"/>
      <c r="DZ190" s="11"/>
      <c r="EA190" s="11"/>
      <c r="EB190" s="11"/>
      <c r="EC190" s="11"/>
      <c r="ED190" s="11"/>
      <c r="EE190" s="11"/>
      <c r="EF190" s="11"/>
      <c r="EG190" s="11"/>
      <c r="EH190" s="11"/>
      <c r="EI190" s="11"/>
      <c r="EJ190" s="11"/>
      <c r="EK190" s="11"/>
      <c r="EL190" s="11"/>
      <c r="EM190" s="11"/>
      <c r="EN190" s="11"/>
    </row>
    <row r="191" spans="1:144" ht="12" customHeight="1" x14ac:dyDescent="0.25">
      <c r="D191" s="5"/>
      <c r="E191" s="5"/>
      <c r="I191" s="9" t="s">
        <v>273</v>
      </c>
      <c r="J191" s="594"/>
      <c r="K191" s="594"/>
      <c r="L191" s="594"/>
      <c r="M191" s="594"/>
      <c r="N191" s="594"/>
      <c r="O191" s="594"/>
      <c r="P191" s="594"/>
      <c r="Q191" s="594"/>
      <c r="R191" s="594"/>
      <c r="S191" s="594"/>
      <c r="T191" s="594"/>
      <c r="U191" s="594"/>
      <c r="V191" s="594"/>
      <c r="W191" s="594"/>
      <c r="X191" s="594"/>
      <c r="Y191" s="594"/>
      <c r="Z191" s="594"/>
      <c r="AA191" s="594"/>
      <c r="AE191" s="9" t="s">
        <v>273</v>
      </c>
      <c r="AF191" s="594"/>
      <c r="AG191" s="594"/>
      <c r="AH191" s="594"/>
      <c r="AI191" s="594"/>
      <c r="AJ191" s="594"/>
      <c r="AK191" s="594"/>
      <c r="AL191" s="594"/>
      <c r="AM191" s="594"/>
      <c r="AN191" s="594"/>
      <c r="AO191" s="594"/>
      <c r="AP191" s="594"/>
      <c r="AQ191" s="594"/>
      <c r="AR191" s="594"/>
      <c r="AS191" s="594"/>
      <c r="AT191" s="594"/>
      <c r="AU191" s="594"/>
      <c r="AV191" s="594"/>
      <c r="AW191" s="594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11"/>
      <c r="DN191" s="11"/>
      <c r="DO191" s="11"/>
      <c r="DP191" s="11"/>
      <c r="DQ191" s="11"/>
      <c r="DR191" s="11"/>
      <c r="DS191" s="11"/>
      <c r="DT191" s="11"/>
      <c r="DU191" s="11"/>
      <c r="DV191" s="11"/>
      <c r="DW191" s="11"/>
      <c r="DX191" s="11"/>
      <c r="DY191" s="11"/>
      <c r="DZ191" s="11"/>
      <c r="EA191" s="11"/>
      <c r="EB191" s="11"/>
      <c r="EC191" s="11"/>
      <c r="ED191" s="11"/>
      <c r="EE191" s="11"/>
      <c r="EF191" s="11"/>
      <c r="EG191" s="11"/>
      <c r="EH191" s="11"/>
      <c r="EI191" s="11"/>
      <c r="EJ191" s="11"/>
      <c r="EK191" s="11"/>
      <c r="EL191" s="11"/>
      <c r="EM191" s="11"/>
      <c r="EN191" s="11"/>
    </row>
    <row r="192" spans="1:144" ht="12" customHeight="1" x14ac:dyDescent="0.25">
      <c r="D192" s="5"/>
      <c r="E192" s="5"/>
      <c r="I192" s="9" t="s">
        <v>20</v>
      </c>
      <c r="J192" s="795"/>
      <c r="K192" s="795"/>
      <c r="L192" s="795"/>
      <c r="M192" s="795"/>
      <c r="N192" s="795"/>
      <c r="O192" s="795"/>
      <c r="P192" s="795"/>
      <c r="Q192" s="795"/>
      <c r="R192" s="795"/>
      <c r="S192" s="795"/>
      <c r="T192" s="795"/>
      <c r="U192" s="795"/>
      <c r="V192" s="795"/>
      <c r="W192" s="795"/>
      <c r="X192" s="795"/>
      <c r="Y192" s="795"/>
      <c r="Z192" s="795"/>
      <c r="AA192" s="795"/>
      <c r="AE192" s="9" t="s">
        <v>20</v>
      </c>
      <c r="AF192" s="795"/>
      <c r="AG192" s="795"/>
      <c r="AH192" s="795"/>
      <c r="AI192" s="795"/>
      <c r="AJ192" s="795"/>
      <c r="AK192" s="795"/>
      <c r="AL192" s="795"/>
      <c r="AM192" s="795"/>
      <c r="AN192" s="795"/>
      <c r="AO192" s="795"/>
      <c r="AP192" s="795"/>
      <c r="AQ192" s="795"/>
      <c r="AR192" s="795"/>
      <c r="AS192" s="795"/>
      <c r="AT192" s="795"/>
      <c r="AU192" s="795"/>
      <c r="AV192" s="795"/>
      <c r="AW192" s="79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11"/>
      <c r="DN192" s="11"/>
      <c r="DO192" s="11"/>
      <c r="DP192" s="11"/>
      <c r="DQ192" s="11"/>
      <c r="DR192" s="11"/>
      <c r="DS192" s="11"/>
      <c r="DT192" s="11"/>
      <c r="DU192" s="11"/>
      <c r="DV192" s="11"/>
      <c r="DW192" s="11"/>
      <c r="DX192" s="11"/>
      <c r="DY192" s="11"/>
      <c r="DZ192" s="11"/>
      <c r="EA192" s="11"/>
      <c r="EB192" s="11"/>
      <c r="EC192" s="11"/>
      <c r="ED192" s="11"/>
      <c r="EE192" s="11"/>
      <c r="EF192" s="11"/>
      <c r="EG192" s="11"/>
      <c r="EH192" s="11"/>
      <c r="EI192" s="11"/>
      <c r="EJ192" s="11"/>
      <c r="EK192" s="11"/>
      <c r="EL192" s="11"/>
      <c r="EM192" s="11"/>
      <c r="EN192" s="11"/>
    </row>
    <row r="193" spans="1:144" ht="12" customHeight="1" x14ac:dyDescent="0.25">
      <c r="D193" s="5"/>
      <c r="E193" s="5"/>
      <c r="I193" s="9" t="s">
        <v>21</v>
      </c>
      <c r="J193" s="792"/>
      <c r="K193" s="792"/>
      <c r="L193" s="792"/>
      <c r="M193" s="792"/>
      <c r="N193" s="792"/>
      <c r="O193" s="792"/>
      <c r="P193"/>
      <c r="Q193"/>
      <c r="R193"/>
      <c r="S193" s="115"/>
      <c r="T193" s="115" t="s">
        <v>23</v>
      </c>
      <c r="U193" s="793"/>
      <c r="V193" s="793"/>
      <c r="W193" s="793"/>
      <c r="X193" s="793"/>
      <c r="Y193" s="793"/>
      <c r="Z193" s="793"/>
      <c r="AA193" s="793"/>
      <c r="AE193" s="9" t="s">
        <v>21</v>
      </c>
      <c r="AF193" s="177"/>
      <c r="AG193" s="177"/>
      <c r="AH193" s="177"/>
      <c r="AI193" s="177"/>
      <c r="AJ193" s="177"/>
      <c r="AK193" s="177"/>
      <c r="AL193"/>
      <c r="AM193"/>
      <c r="AN193"/>
      <c r="AO193" s="115"/>
      <c r="AP193" s="115" t="s">
        <v>23</v>
      </c>
      <c r="AQ193" s="178"/>
      <c r="AR193" s="178"/>
      <c r="AS193" s="178"/>
      <c r="AT193" s="178"/>
      <c r="AU193" s="178"/>
      <c r="AV193" s="178"/>
      <c r="AW193" s="178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11"/>
      <c r="DN193" s="11"/>
      <c r="DO193" s="11"/>
      <c r="DP193" s="11"/>
      <c r="DQ193" s="11"/>
      <c r="DR193" s="11"/>
      <c r="DS193" s="11"/>
      <c r="DT193" s="11"/>
      <c r="DU193" s="11"/>
      <c r="DV193" s="11"/>
      <c r="DW193" s="11"/>
      <c r="DX193" s="11"/>
      <c r="DY193" s="11"/>
      <c r="DZ193" s="11"/>
      <c r="EA193" s="11"/>
      <c r="EB193" s="11"/>
      <c r="EC193" s="11"/>
      <c r="ED193" s="11"/>
      <c r="EE193" s="11"/>
      <c r="EF193" s="11"/>
      <c r="EG193" s="11"/>
      <c r="EH193" s="11"/>
      <c r="EI193" s="11"/>
      <c r="EJ193" s="11"/>
      <c r="EK193" s="11"/>
      <c r="EL193" s="11"/>
      <c r="EM193" s="11"/>
      <c r="EN193" s="11"/>
    </row>
    <row r="194" spans="1:144" ht="12" customHeight="1" x14ac:dyDescent="0.25">
      <c r="D194" s="5"/>
      <c r="E194" s="5"/>
      <c r="I194" s="9" t="s">
        <v>458</v>
      </c>
      <c r="J194" s="795"/>
      <c r="K194" s="795"/>
      <c r="L194" s="795"/>
      <c r="M194" s="795"/>
      <c r="N194" s="795"/>
      <c r="O194" s="795"/>
      <c r="P194" s="795"/>
      <c r="Q194" s="795"/>
      <c r="R194" s="795"/>
      <c r="S194" s="795"/>
      <c r="T194" s="795"/>
      <c r="U194" s="795"/>
      <c r="V194" s="795"/>
      <c r="W194" s="795"/>
      <c r="X194" s="795"/>
      <c r="Y194" s="795"/>
      <c r="Z194" s="795"/>
      <c r="AA194" s="795"/>
      <c r="AE194" s="9"/>
      <c r="AF194" s="794"/>
      <c r="AG194" s="794"/>
      <c r="AH194" s="794"/>
      <c r="AI194" s="794"/>
      <c r="AJ194" s="794"/>
      <c r="AK194" s="794"/>
      <c r="AL194" s="794"/>
      <c r="AM194" s="794"/>
      <c r="AN194" s="794"/>
      <c r="AO194" s="794"/>
      <c r="AP194" s="794"/>
      <c r="AQ194" s="794"/>
      <c r="AR194" s="794"/>
      <c r="AS194" s="794"/>
      <c r="AT194" s="794"/>
      <c r="AU194" s="794"/>
      <c r="AV194" s="794"/>
      <c r="AW194" s="794"/>
      <c r="AZ194" s="5"/>
      <c r="BA194" s="5"/>
      <c r="BB194" s="5"/>
      <c r="BC194" s="5"/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11"/>
      <c r="DN194" s="11"/>
      <c r="DO194" s="11"/>
      <c r="DP194" s="11"/>
      <c r="DQ194" s="11"/>
      <c r="DR194" s="11"/>
      <c r="DS194" s="11"/>
      <c r="DT194" s="11"/>
      <c r="DU194" s="11"/>
      <c r="DV194" s="11"/>
      <c r="DW194" s="11"/>
      <c r="DX194" s="11"/>
      <c r="DY194" s="11"/>
      <c r="DZ194" s="11"/>
      <c r="EA194" s="11"/>
      <c r="EB194" s="11"/>
      <c r="EC194" s="11"/>
      <c r="ED194" s="11"/>
      <c r="EE194" s="11"/>
      <c r="EF194" s="11"/>
      <c r="EG194" s="11"/>
      <c r="EH194" s="11"/>
      <c r="EI194" s="11"/>
      <c r="EJ194" s="11"/>
      <c r="EK194" s="11"/>
      <c r="EL194" s="11"/>
      <c r="EM194" s="11"/>
      <c r="EN194" s="11"/>
    </row>
    <row r="195" spans="1:144" s="42" customFormat="1" ht="3.9" customHeight="1" x14ac:dyDescent="0.25">
      <c r="A195" s="8"/>
      <c r="B195" s="8"/>
      <c r="C195" s="8"/>
      <c r="D195" s="5"/>
      <c r="E195" s="5"/>
      <c r="F195" s="12"/>
      <c r="G195" s="12"/>
      <c r="I195" s="12"/>
      <c r="J195" s="12"/>
      <c r="K195" s="12"/>
      <c r="L195" s="12"/>
      <c r="M195" s="12"/>
      <c r="N195" s="12"/>
      <c r="O195" s="12"/>
      <c r="P195" s="12"/>
      <c r="Q195" s="12"/>
      <c r="R195" s="12"/>
      <c r="S195" s="12"/>
      <c r="T195" s="12"/>
      <c r="U195" s="12"/>
      <c r="V195" s="12"/>
      <c r="W195" s="12"/>
      <c r="X195" s="12"/>
      <c r="Y195" s="12"/>
      <c r="Z195" s="12"/>
      <c r="AA195" s="12"/>
      <c r="AB195" s="12"/>
      <c r="AC195" s="12"/>
      <c r="AX195" s="59"/>
      <c r="AZ195" s="11"/>
      <c r="BA195" s="11"/>
      <c r="BB195" s="11"/>
      <c r="BC195" s="11"/>
      <c r="BD195" s="11"/>
      <c r="BE195" s="11"/>
      <c r="BF195" s="11"/>
      <c r="BG195" s="11"/>
      <c r="BH195" s="11"/>
      <c r="BI195" s="11"/>
      <c r="BJ195" s="11"/>
      <c r="BK195" s="11"/>
      <c r="BL195" s="11"/>
      <c r="BM195" s="11"/>
      <c r="BN195" s="11"/>
      <c r="BO195" s="11"/>
      <c r="BP195" s="11"/>
      <c r="BQ195" s="11"/>
      <c r="BR195" s="11"/>
      <c r="BS195" s="11"/>
      <c r="BT195" s="11"/>
      <c r="BU195" s="11"/>
      <c r="BV195" s="11"/>
      <c r="BW195" s="11"/>
      <c r="BX195" s="11"/>
      <c r="BY195" s="11"/>
      <c r="BZ195" s="11"/>
      <c r="CA195" s="11"/>
      <c r="CB195" s="11"/>
      <c r="CC195" s="11"/>
      <c r="CD195" s="11"/>
      <c r="CE195" s="11"/>
      <c r="CF195" s="11"/>
      <c r="CG195" s="11"/>
      <c r="CH195" s="11"/>
      <c r="CI195" s="11"/>
      <c r="CJ195" s="11"/>
      <c r="CK195" s="11"/>
      <c r="CL195" s="11"/>
      <c r="CM195" s="11"/>
      <c r="CN195" s="11"/>
      <c r="CO195" s="11"/>
      <c r="CP195" s="11"/>
      <c r="CQ195" s="11"/>
      <c r="CR195" s="11"/>
      <c r="CS195" s="11"/>
      <c r="CT195" s="11"/>
      <c r="CU195" s="11"/>
      <c r="CV195" s="11"/>
      <c r="CW195" s="11"/>
      <c r="CX195" s="11"/>
      <c r="CY195" s="11"/>
      <c r="CZ195" s="11"/>
      <c r="DA195" s="11"/>
      <c r="DB195" s="11"/>
      <c r="DC195" s="11"/>
      <c r="DD195" s="11"/>
      <c r="DE195" s="11"/>
      <c r="DF195" s="11"/>
      <c r="DG195" s="11"/>
      <c r="DH195" s="11"/>
      <c r="DI195" s="11"/>
      <c r="DJ195" s="11"/>
      <c r="DK195" s="11"/>
      <c r="DL195" s="11"/>
      <c r="DM195" s="11"/>
      <c r="DN195" s="11"/>
      <c r="DO195" s="11"/>
      <c r="DP195" s="11"/>
      <c r="DQ195" s="11"/>
      <c r="DR195" s="11"/>
      <c r="DS195" s="11"/>
      <c r="DT195" s="11"/>
      <c r="DU195" s="11"/>
      <c r="DV195" s="11"/>
      <c r="DW195" s="11"/>
      <c r="DX195" s="11"/>
      <c r="DY195" s="11"/>
      <c r="DZ195" s="11"/>
      <c r="EA195" s="11"/>
      <c r="EB195" s="11"/>
      <c r="EC195" s="11"/>
      <c r="ED195" s="11"/>
      <c r="EE195" s="11"/>
      <c r="EF195" s="11"/>
      <c r="EG195" s="11"/>
      <c r="EH195" s="11"/>
      <c r="EI195" s="11"/>
      <c r="EJ195" s="11"/>
      <c r="EK195" s="11"/>
      <c r="EL195" s="11"/>
      <c r="EM195" s="11"/>
      <c r="EN195" s="11"/>
    </row>
    <row r="196" spans="1:144" ht="12" customHeight="1" x14ac:dyDescent="0.25">
      <c r="D196" s="5"/>
      <c r="E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CX196" s="12"/>
      <c r="CY196" s="12"/>
      <c r="CZ196" s="12"/>
      <c r="DA196" s="12"/>
      <c r="DB196" s="12"/>
      <c r="DC196" s="12"/>
      <c r="DD196" s="12"/>
      <c r="DE196" s="12"/>
      <c r="DF196" s="12"/>
      <c r="DG196" s="12"/>
      <c r="DH196" s="12"/>
      <c r="DM196" s="11"/>
      <c r="DN196" s="11"/>
      <c r="DO196" s="11"/>
      <c r="DP196" s="11"/>
      <c r="DQ196" s="11"/>
      <c r="DR196" s="11"/>
      <c r="DS196" s="11"/>
      <c r="DT196" s="11"/>
      <c r="DU196" s="11"/>
      <c r="DV196" s="11"/>
      <c r="DW196" s="11"/>
      <c r="DX196" s="11"/>
      <c r="DY196" s="11"/>
      <c r="DZ196" s="11"/>
      <c r="EA196" s="11"/>
      <c r="EB196" s="11"/>
      <c r="EC196" s="11"/>
      <c r="ED196" s="11"/>
      <c r="EE196" s="11"/>
      <c r="EF196" s="11"/>
      <c r="EG196" s="11"/>
      <c r="EH196" s="11"/>
      <c r="EI196" s="11"/>
      <c r="EJ196" s="11"/>
      <c r="EK196" s="11"/>
      <c r="EL196" s="11"/>
      <c r="EM196" s="11"/>
      <c r="EN196" s="11"/>
    </row>
    <row r="197" spans="1:144" ht="12" customHeight="1" x14ac:dyDescent="0.25">
      <c r="D197" s="5"/>
      <c r="E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DM197" s="11"/>
      <c r="DN197" s="11"/>
      <c r="DO197" s="11"/>
      <c r="DP197" s="11"/>
      <c r="DQ197" s="11"/>
      <c r="DR197" s="11"/>
      <c r="DS197" s="11"/>
      <c r="DT197" s="11"/>
      <c r="DU197" s="11"/>
      <c r="DV197" s="11"/>
      <c r="DW197" s="11"/>
      <c r="DX197" s="11"/>
      <c r="DY197" s="11"/>
      <c r="DZ197" s="11"/>
      <c r="EA197" s="11"/>
      <c r="EB197" s="11"/>
      <c r="EC197" s="11"/>
      <c r="ED197" s="11"/>
      <c r="EE197" s="11"/>
      <c r="EF197" s="11"/>
      <c r="EG197" s="11"/>
      <c r="EH197" s="11"/>
      <c r="EI197" s="11"/>
      <c r="EJ197" s="11"/>
      <c r="EK197" s="11"/>
      <c r="EL197" s="11"/>
      <c r="EM197" s="11"/>
      <c r="EN197" s="11"/>
    </row>
    <row r="198" spans="1:144" ht="12" customHeight="1" x14ac:dyDescent="0.25">
      <c r="D198" s="5"/>
      <c r="E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DI198" s="12"/>
      <c r="DJ198" s="12"/>
      <c r="DK198" s="12"/>
      <c r="DL198" s="12"/>
      <c r="EA198" s="11"/>
      <c r="EB198" s="11"/>
      <c r="EC198" s="11"/>
      <c r="ED198" s="11"/>
      <c r="EE198" s="11"/>
      <c r="EF198" s="11"/>
      <c r="EG198" s="11"/>
      <c r="EH198" s="11"/>
      <c r="EI198" s="11"/>
      <c r="EJ198" s="11"/>
      <c r="EK198" s="11"/>
      <c r="EL198" s="11"/>
      <c r="EM198" s="11"/>
      <c r="EN198" s="11"/>
    </row>
    <row r="199" spans="1:144" ht="6" customHeight="1" x14ac:dyDescent="0.25">
      <c r="D199" s="5"/>
      <c r="E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DM199" s="11"/>
      <c r="DN199" s="11"/>
      <c r="DO199" s="11"/>
      <c r="DP199" s="11"/>
      <c r="DQ199" s="11"/>
      <c r="DR199" s="11"/>
      <c r="DS199" s="11"/>
      <c r="DT199" s="11"/>
      <c r="DU199" s="11"/>
      <c r="DV199" s="11"/>
      <c r="DW199" s="11"/>
      <c r="DX199" s="11"/>
      <c r="DY199" s="11"/>
      <c r="DZ199" s="11"/>
      <c r="EA199" s="11"/>
      <c r="EB199" s="11"/>
      <c r="EC199" s="11"/>
      <c r="ED199" s="11"/>
      <c r="EE199" s="11"/>
      <c r="EF199" s="11"/>
      <c r="EG199" s="11"/>
      <c r="EH199" s="11"/>
      <c r="EI199" s="11"/>
      <c r="EJ199" s="11"/>
      <c r="EK199" s="11"/>
      <c r="EL199" s="11"/>
      <c r="EM199" s="11"/>
      <c r="EN199" s="11"/>
    </row>
    <row r="200" spans="1:144" ht="12" customHeight="1" x14ac:dyDescent="0.25">
      <c r="D200" s="5"/>
      <c r="E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CX200" s="12"/>
      <c r="CY200" s="12"/>
      <c r="CZ200" s="12"/>
      <c r="DA200" s="12"/>
      <c r="DB200" s="12"/>
      <c r="DC200" s="12"/>
      <c r="DD200" s="12"/>
      <c r="DE200" s="12"/>
      <c r="DF200" s="12"/>
      <c r="DG200" s="12"/>
      <c r="DH200" s="12"/>
      <c r="DM200" s="11"/>
      <c r="DN200" s="11"/>
      <c r="DO200" s="11"/>
      <c r="DP200" s="11"/>
      <c r="DQ200" s="11"/>
      <c r="DR200" s="11"/>
      <c r="DS200" s="11"/>
      <c r="DT200" s="11"/>
      <c r="DU200" s="11"/>
      <c r="DV200" s="11"/>
      <c r="DW200" s="11"/>
      <c r="DX200" s="11"/>
      <c r="DY200" s="11"/>
      <c r="DZ200" s="11"/>
      <c r="EA200" s="11"/>
      <c r="EB200" s="11"/>
      <c r="EC200" s="11"/>
      <c r="ED200" s="11"/>
      <c r="EE200" s="11"/>
      <c r="EF200" s="11"/>
      <c r="EG200" s="11"/>
      <c r="EH200" s="11"/>
      <c r="EI200" s="11"/>
      <c r="EJ200" s="11"/>
      <c r="EK200" s="11"/>
      <c r="EL200" s="11"/>
      <c r="EM200" s="11"/>
      <c r="EN200" s="11"/>
    </row>
    <row r="201" spans="1:144" ht="12" customHeight="1" x14ac:dyDescent="0.25">
      <c r="D201" s="5"/>
      <c r="E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CX201" s="12"/>
      <c r="CY201" s="12"/>
      <c r="CZ201" s="12"/>
      <c r="DA201" s="12"/>
      <c r="DB201" s="12"/>
      <c r="DC201" s="12"/>
      <c r="DD201" s="12"/>
      <c r="DE201" s="12"/>
      <c r="DF201" s="12"/>
      <c r="DG201" s="12"/>
      <c r="DH201" s="12"/>
      <c r="DM201" s="11"/>
      <c r="DN201" s="11"/>
      <c r="DO201" s="11"/>
      <c r="DP201" s="11"/>
      <c r="DQ201" s="11"/>
      <c r="DR201" s="11"/>
      <c r="DS201" s="11"/>
      <c r="DT201" s="11"/>
      <c r="DU201" s="11"/>
      <c r="DV201" s="11"/>
      <c r="DW201" s="11"/>
      <c r="DX201" s="11"/>
      <c r="DY201" s="11"/>
      <c r="DZ201" s="11"/>
      <c r="EA201" s="11"/>
      <c r="EB201" s="11"/>
      <c r="EC201" s="11"/>
      <c r="ED201" s="11"/>
      <c r="EE201" s="11"/>
      <c r="EF201" s="11"/>
      <c r="EG201" s="11"/>
      <c r="EH201" s="11"/>
      <c r="EI201" s="11"/>
      <c r="EJ201" s="11"/>
      <c r="EK201" s="11"/>
      <c r="EL201" s="11"/>
      <c r="EM201" s="11"/>
      <c r="EN201" s="11"/>
    </row>
    <row r="202" spans="1:144" ht="12" customHeight="1" x14ac:dyDescent="0.25">
      <c r="D202" s="5"/>
      <c r="E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DI202" s="12"/>
      <c r="DJ202" s="12"/>
      <c r="DK202" s="12"/>
      <c r="DL202" s="12"/>
      <c r="DT202" s="11"/>
      <c r="DU202" s="11"/>
      <c r="DV202" s="11"/>
      <c r="DW202" s="11"/>
      <c r="DX202" s="11"/>
      <c r="DY202" s="11"/>
      <c r="DZ202" s="11"/>
      <c r="EA202" s="11"/>
      <c r="EB202" s="11"/>
      <c r="EC202" s="11"/>
      <c r="ED202" s="11"/>
      <c r="EE202" s="11"/>
      <c r="EF202" s="11"/>
      <c r="EG202" s="11"/>
      <c r="EH202" s="11"/>
      <c r="EI202" s="11"/>
      <c r="EJ202" s="11"/>
      <c r="EK202" s="11"/>
      <c r="EL202" s="11"/>
      <c r="EM202" s="11"/>
      <c r="EN202" s="11"/>
    </row>
    <row r="203" spans="1:144" ht="12" customHeight="1" x14ac:dyDescent="0.25">
      <c r="D203" s="5"/>
      <c r="E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BA203" s="42"/>
      <c r="BB203" s="42"/>
      <c r="BC203" s="42"/>
      <c r="BD203" s="42"/>
      <c r="BE203" s="42"/>
      <c r="BF203" s="42"/>
      <c r="BG203" s="42"/>
      <c r="BH203" s="42"/>
      <c r="BI203" s="42"/>
      <c r="BJ203" s="42"/>
      <c r="BK203" s="42"/>
      <c r="BL203" s="42"/>
      <c r="BM203" s="42"/>
      <c r="BN203" s="42"/>
      <c r="BO203" s="42"/>
      <c r="BP203" s="42"/>
      <c r="BQ203" s="42"/>
      <c r="BR203" s="42"/>
      <c r="BS203" s="42"/>
      <c r="BT203" s="42"/>
      <c r="BU203" s="42"/>
      <c r="BV203" s="42"/>
      <c r="BW203" s="42"/>
      <c r="BX203" s="42"/>
      <c r="BY203" s="42"/>
      <c r="BZ203" s="42"/>
      <c r="CA203" s="42"/>
      <c r="CB203" s="42"/>
      <c r="CC203" s="42"/>
      <c r="CD203" s="42"/>
      <c r="CE203" s="42"/>
      <c r="CF203" s="42"/>
      <c r="CG203" s="42"/>
      <c r="CH203" s="42"/>
      <c r="CI203" s="42"/>
      <c r="CJ203" s="42"/>
      <c r="CK203" s="42"/>
      <c r="CL203" s="42"/>
      <c r="CM203" s="42"/>
      <c r="CN203" s="42"/>
      <c r="CO203" s="42"/>
      <c r="CP203" s="42"/>
      <c r="CQ203" s="42"/>
      <c r="CR203" s="42"/>
      <c r="CS203" s="42"/>
      <c r="CT203" s="42"/>
      <c r="CU203" s="42"/>
      <c r="CV203" s="42"/>
      <c r="CW203" s="42"/>
      <c r="CX203" s="42"/>
      <c r="CY203" s="42"/>
      <c r="CZ203" s="42"/>
      <c r="DA203" s="42"/>
      <c r="DB203" s="42"/>
      <c r="DC203" s="42"/>
      <c r="DD203" s="42"/>
      <c r="DE203" s="42"/>
      <c r="DF203" s="42"/>
      <c r="DG203" s="42"/>
      <c r="DH203" s="42"/>
      <c r="DI203" s="12"/>
      <c r="DJ203" s="12"/>
      <c r="DK203" s="12"/>
      <c r="DL203" s="12"/>
      <c r="DU203" s="11"/>
      <c r="DV203" s="11"/>
      <c r="DW203" s="11"/>
      <c r="DX203" s="11"/>
      <c r="DY203" s="11"/>
      <c r="DZ203" s="11"/>
      <c r="EA203" s="11"/>
      <c r="EB203" s="11"/>
      <c r="EC203" s="11"/>
      <c r="ED203" s="11"/>
      <c r="EE203" s="11"/>
      <c r="EF203" s="11"/>
      <c r="EG203" s="11"/>
      <c r="EH203" s="11"/>
      <c r="EI203" s="11"/>
      <c r="EJ203" s="11"/>
      <c r="EK203" s="11"/>
      <c r="EL203" s="11"/>
      <c r="EM203" s="11"/>
      <c r="EN203" s="11"/>
    </row>
    <row r="204" spans="1:144" ht="12" customHeight="1" x14ac:dyDescent="0.25">
      <c r="D204" s="5"/>
      <c r="E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DM204" s="11"/>
      <c r="DN204" s="11"/>
      <c r="DO204" s="11"/>
      <c r="DP204" s="11"/>
      <c r="DQ204" s="11"/>
      <c r="DR204" s="11"/>
      <c r="DS204" s="11"/>
      <c r="DT204" s="11"/>
      <c r="DU204" s="11"/>
      <c r="DV204" s="11"/>
      <c r="DW204" s="11"/>
      <c r="DX204" s="11"/>
      <c r="DY204" s="11"/>
      <c r="DZ204" s="11"/>
      <c r="EA204" s="11"/>
      <c r="EB204" s="11"/>
      <c r="EC204" s="11"/>
      <c r="ED204" s="11"/>
      <c r="EE204" s="11"/>
      <c r="EF204" s="11"/>
      <c r="EG204" s="11"/>
      <c r="EH204" s="11"/>
      <c r="EI204" s="11"/>
      <c r="EJ204" s="11"/>
      <c r="EK204" s="11"/>
      <c r="EL204" s="11"/>
      <c r="EM204" s="11"/>
      <c r="EN204" s="11"/>
    </row>
    <row r="205" spans="1:144" s="42" customFormat="1" ht="3.9" customHeight="1" x14ac:dyDescent="0.25">
      <c r="A205" s="8"/>
      <c r="B205" s="8"/>
      <c r="C205" s="8"/>
      <c r="D205" s="5"/>
      <c r="E205" s="5"/>
      <c r="F205" s="12"/>
      <c r="G205" s="12"/>
      <c r="H205" s="12"/>
      <c r="I205" s="12"/>
      <c r="J205" s="12"/>
      <c r="K205" s="12"/>
      <c r="L205" s="12"/>
      <c r="M205" s="12"/>
      <c r="N205" s="12"/>
      <c r="O205" s="12"/>
      <c r="P205" s="12"/>
      <c r="Q205" s="12"/>
      <c r="R205" s="12"/>
      <c r="S205" s="12"/>
      <c r="T205" s="12"/>
      <c r="U205" s="12"/>
      <c r="V205" s="12"/>
      <c r="W205" s="12"/>
      <c r="X205" s="12"/>
      <c r="Y205" s="12"/>
      <c r="Z205" s="12"/>
      <c r="AA205" s="12"/>
      <c r="AB205" s="12"/>
      <c r="AC205" s="12"/>
      <c r="AD205" s="12"/>
      <c r="AE205" s="12"/>
      <c r="AF205" s="12"/>
      <c r="AG205" s="12"/>
      <c r="AH205" s="12"/>
      <c r="AI205" s="12"/>
      <c r="AJ205" s="12"/>
      <c r="AK205" s="12"/>
      <c r="AL205" s="12"/>
      <c r="AM205" s="12"/>
      <c r="AN205" s="12"/>
      <c r="AX205" s="59"/>
      <c r="AZ205" s="11"/>
      <c r="DS205" s="11"/>
      <c r="DT205" s="11"/>
      <c r="DU205" s="11"/>
      <c r="DV205" s="11"/>
      <c r="DW205" s="11"/>
      <c r="DX205" s="11"/>
      <c r="DY205" s="11"/>
      <c r="DZ205" s="11"/>
      <c r="EA205" s="11"/>
      <c r="EB205" s="11"/>
      <c r="EC205" s="11"/>
      <c r="ED205" s="11"/>
      <c r="EE205" s="11"/>
      <c r="EF205" s="11"/>
      <c r="EG205" s="11"/>
      <c r="EH205" s="11"/>
      <c r="EI205" s="11"/>
      <c r="EJ205" s="11"/>
      <c r="EK205" s="11"/>
      <c r="EL205" s="11"/>
      <c r="EM205" s="11"/>
      <c r="EN205" s="11"/>
    </row>
    <row r="206" spans="1:144" s="42" customFormat="1" ht="12" customHeight="1" x14ac:dyDescent="0.25">
      <c r="A206" s="8"/>
      <c r="B206" s="8"/>
      <c r="C206" s="8"/>
      <c r="D206" s="8"/>
      <c r="E206" s="9"/>
      <c r="F206" s="12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 s="11"/>
      <c r="BA206" s="11"/>
      <c r="BB206" s="11"/>
      <c r="BC206" s="11"/>
      <c r="BD206" s="11"/>
      <c r="BE206" s="11"/>
      <c r="BF206" s="11"/>
      <c r="BG206" s="11"/>
      <c r="BH206" s="11"/>
      <c r="BI206" s="11"/>
      <c r="BJ206" s="11"/>
      <c r="BK206" s="11"/>
      <c r="BL206" s="11"/>
      <c r="BM206" s="11"/>
      <c r="BN206" s="11"/>
      <c r="BO206" s="11"/>
      <c r="BP206" s="11"/>
      <c r="BQ206" s="11"/>
      <c r="BR206" s="11"/>
      <c r="BS206" s="11"/>
      <c r="BT206" s="11"/>
      <c r="BU206" s="11"/>
      <c r="BV206" s="11"/>
      <c r="BW206" s="11"/>
      <c r="BX206" s="11"/>
      <c r="BY206" s="11"/>
      <c r="BZ206" s="11"/>
      <c r="CA206" s="11"/>
      <c r="CB206" s="11"/>
      <c r="CC206" s="11"/>
      <c r="CD206" s="11"/>
      <c r="CE206" s="11"/>
      <c r="CF206" s="11"/>
      <c r="CG206" s="11"/>
      <c r="CH206" s="11"/>
      <c r="CI206" s="11"/>
      <c r="CJ206" s="11"/>
      <c r="CK206" s="11"/>
      <c r="CL206" s="11"/>
      <c r="CM206" s="11"/>
      <c r="CN206" s="11"/>
      <c r="CO206" s="11"/>
      <c r="CP206" s="11"/>
      <c r="CQ206" s="11"/>
      <c r="CR206" s="11"/>
      <c r="CS206" s="11"/>
      <c r="CT206" s="11"/>
      <c r="CU206" s="11"/>
      <c r="CV206" s="11"/>
      <c r="CW206" s="11"/>
      <c r="CX206" s="11"/>
      <c r="CY206" s="11"/>
      <c r="CZ206" s="11"/>
      <c r="DA206" s="11"/>
      <c r="DB206" s="11"/>
      <c r="DC206" s="11"/>
      <c r="DD206" s="11"/>
      <c r="DE206" s="11"/>
      <c r="DF206" s="11"/>
      <c r="DG206" s="11"/>
      <c r="DH206" s="11"/>
      <c r="DI206" s="11"/>
      <c r="DJ206" s="11"/>
      <c r="DK206" s="11"/>
      <c r="DL206" s="11"/>
      <c r="DM206" s="11"/>
      <c r="DN206" s="11"/>
      <c r="DO206" s="11"/>
      <c r="DP206" s="11"/>
      <c r="DQ206" s="11"/>
      <c r="DR206" s="11"/>
      <c r="DS206" s="11"/>
      <c r="DT206" s="11"/>
      <c r="DU206" s="11"/>
      <c r="DV206" s="11"/>
      <c r="DW206" s="11"/>
      <c r="DX206" s="11"/>
      <c r="DY206" s="11"/>
      <c r="DZ206" s="11"/>
      <c r="EA206" s="11"/>
      <c r="EB206" s="11"/>
      <c r="EC206" s="11"/>
      <c r="ED206" s="11"/>
      <c r="EE206" s="11"/>
      <c r="EF206" s="11"/>
      <c r="EG206" s="11"/>
      <c r="EH206" s="11"/>
      <c r="EI206" s="11"/>
      <c r="EJ206" s="11"/>
      <c r="EK206" s="11"/>
      <c r="EL206" s="11"/>
      <c r="EM206" s="11"/>
      <c r="EN206" s="11"/>
    </row>
    <row r="207" spans="1:144" s="42" customFormat="1" ht="12" customHeight="1" x14ac:dyDescent="0.25">
      <c r="A207" s="8"/>
      <c r="B207" s="8"/>
      <c r="C207" s="8"/>
      <c r="D207" s="8"/>
      <c r="E207" s="9"/>
      <c r="F207" s="12"/>
      <c r="G207" s="5"/>
      <c r="H207" s="5"/>
      <c r="I207" s="5"/>
      <c r="J207" s="5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BA207" s="11"/>
      <c r="BB207" s="11"/>
      <c r="BC207" s="11"/>
      <c r="BD207" s="11"/>
      <c r="BE207" s="11"/>
      <c r="BF207" s="11"/>
      <c r="BG207" s="11"/>
      <c r="BH207" s="11"/>
      <c r="BI207" s="11"/>
      <c r="BJ207" s="11"/>
      <c r="BK207" s="11"/>
      <c r="BL207" s="11"/>
      <c r="BM207" s="11"/>
      <c r="BN207" s="11"/>
      <c r="BO207" s="11"/>
      <c r="BP207" s="11"/>
      <c r="BQ207" s="11"/>
      <c r="BR207" s="11"/>
      <c r="BS207" s="11"/>
      <c r="BT207" s="11"/>
      <c r="BU207" s="11"/>
      <c r="BV207" s="11"/>
      <c r="BW207" s="11"/>
      <c r="BX207" s="11"/>
      <c r="BY207" s="11"/>
      <c r="BZ207" s="11"/>
      <c r="CA207" s="11"/>
      <c r="CB207" s="11"/>
      <c r="CC207" s="11"/>
      <c r="CD207" s="11"/>
      <c r="CE207" s="11"/>
      <c r="CF207" s="11"/>
      <c r="CG207" s="11"/>
      <c r="CH207" s="11"/>
      <c r="CI207" s="11"/>
      <c r="CJ207" s="11"/>
      <c r="CK207" s="11"/>
      <c r="CL207" s="11"/>
      <c r="CM207" s="11"/>
      <c r="CN207" s="11"/>
      <c r="CO207" s="11"/>
      <c r="CP207" s="11"/>
      <c r="CQ207" s="11"/>
      <c r="CR207" s="11"/>
      <c r="CS207" s="11"/>
      <c r="CT207" s="11"/>
      <c r="CU207" s="11"/>
      <c r="CV207" s="11"/>
      <c r="CW207" s="11"/>
      <c r="CX207" s="11"/>
      <c r="CY207" s="11"/>
      <c r="CZ207" s="11"/>
      <c r="DA207" s="11"/>
      <c r="DB207" s="11"/>
      <c r="DC207" s="11"/>
      <c r="DD207" s="11"/>
      <c r="DE207" s="11"/>
      <c r="DF207" s="11"/>
      <c r="DG207" s="11"/>
      <c r="DH207" s="11"/>
      <c r="DS207" s="11"/>
      <c r="DT207" s="11"/>
      <c r="DU207" s="11"/>
      <c r="DV207" s="11"/>
      <c r="DW207" s="11"/>
      <c r="DX207" s="11"/>
      <c r="DY207" s="11"/>
      <c r="DZ207" s="11"/>
      <c r="EA207" s="11"/>
      <c r="EB207" s="11"/>
      <c r="EC207" s="11"/>
      <c r="ED207" s="11"/>
      <c r="EE207" s="11"/>
      <c r="EF207" s="11"/>
      <c r="EG207" s="11"/>
      <c r="EH207" s="11"/>
      <c r="EI207" s="11"/>
      <c r="EJ207" s="11"/>
      <c r="EK207" s="11"/>
      <c r="EL207" s="11"/>
      <c r="EM207" s="11"/>
      <c r="EN207" s="11"/>
    </row>
    <row r="208" spans="1:144" ht="12" customHeight="1" x14ac:dyDescent="0.25">
      <c r="G208" s="5"/>
      <c r="H208" s="5"/>
      <c r="I208" s="5"/>
      <c r="J208" s="5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DW208" s="11"/>
      <c r="DX208" s="11"/>
      <c r="DY208" s="11"/>
      <c r="DZ208" s="11"/>
      <c r="EA208" s="11"/>
      <c r="EB208" s="11"/>
      <c r="EC208" s="11"/>
      <c r="ED208" s="11"/>
      <c r="EE208" s="11"/>
      <c r="EF208" s="11"/>
      <c r="EG208" s="11"/>
      <c r="EH208" s="11"/>
      <c r="EI208" s="11"/>
      <c r="EJ208" s="11"/>
      <c r="EK208" s="11"/>
      <c r="EL208" s="11"/>
      <c r="EM208" s="11"/>
      <c r="EN208" s="11"/>
    </row>
    <row r="209" spans="7:144" ht="12" customHeight="1" x14ac:dyDescent="0.25">
      <c r="G209"/>
      <c r="H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DM209" s="11"/>
      <c r="DN209" s="11"/>
      <c r="DO209" s="11"/>
      <c r="DP209" s="11"/>
      <c r="DQ209" s="11"/>
      <c r="DR209" s="11"/>
      <c r="DS209" s="11"/>
      <c r="DT209" s="11"/>
      <c r="DU209" s="11"/>
      <c r="DV209" s="11"/>
      <c r="DW209" s="11"/>
      <c r="DX209" s="11"/>
      <c r="DY209" s="11"/>
      <c r="DZ209" s="11"/>
      <c r="EA209" s="11"/>
      <c r="EB209" s="11"/>
      <c r="EC209" s="11"/>
      <c r="ED209" s="11"/>
      <c r="EE209" s="11"/>
      <c r="EF209" s="11"/>
      <c r="EG209" s="11"/>
      <c r="EH209" s="11"/>
      <c r="EI209" s="11"/>
      <c r="EJ209" s="11"/>
      <c r="EK209" s="11"/>
      <c r="EL209" s="11"/>
      <c r="EM209" s="11"/>
      <c r="EN209" s="11"/>
    </row>
  </sheetData>
  <sheetProtection algorithmName="SHA-512" hashValue="Kgu2qps3PsXPCAWjBa9sOCsOTfVxuQ6QknTsdxEwk/zgZ/g0cHkExHKT0DT48d27zUblxkLiIsuJYCMU8V0iCQ==" saltValue="bdVDbjtIJfeGrLRQS0z2lw==" spinCount="100000" sheet="1" formatCells="0" formatColumns="0" formatRows="0" selectLockedCells="1" sort="0" autoFilter="0"/>
  <mergeCells count="394">
    <mergeCell ref="J97:O97"/>
    <mergeCell ref="P97:V97"/>
    <mergeCell ref="W97:AC97"/>
    <mergeCell ref="AD97:AI97"/>
    <mergeCell ref="AJ97:AP97"/>
    <mergeCell ref="AQ97:AW97"/>
    <mergeCell ref="P95:V95"/>
    <mergeCell ref="W95:AC95"/>
    <mergeCell ref="AD95:AI95"/>
    <mergeCell ref="AJ95:AP95"/>
    <mergeCell ref="AQ95:AW95"/>
    <mergeCell ref="J96:O96"/>
    <mergeCell ref="P96:V96"/>
    <mergeCell ref="W96:AC96"/>
    <mergeCell ref="AD96:AI96"/>
    <mergeCell ref="AJ96:AP96"/>
    <mergeCell ref="AQ96:AW96"/>
    <mergeCell ref="J85:O85"/>
    <mergeCell ref="P85:V85"/>
    <mergeCell ref="W85:AC85"/>
    <mergeCell ref="AD85:AI85"/>
    <mergeCell ref="AJ85:AP85"/>
    <mergeCell ref="AQ85:AW85"/>
    <mergeCell ref="W88:AC88"/>
    <mergeCell ref="AD88:AI88"/>
    <mergeCell ref="AJ88:AP88"/>
    <mergeCell ref="AQ88:AW88"/>
    <mergeCell ref="W87:AC87"/>
    <mergeCell ref="AD87:AI87"/>
    <mergeCell ref="AJ87:AP87"/>
    <mergeCell ref="AQ87:AW87"/>
    <mergeCell ref="J83:O83"/>
    <mergeCell ref="P83:V83"/>
    <mergeCell ref="W83:AC83"/>
    <mergeCell ref="AD83:AI83"/>
    <mergeCell ref="AJ83:AP83"/>
    <mergeCell ref="AQ83:AW83"/>
    <mergeCell ref="J84:O84"/>
    <mergeCell ref="P84:V84"/>
    <mergeCell ref="W84:AC84"/>
    <mergeCell ref="AD84:AI84"/>
    <mergeCell ref="AJ84:AP84"/>
    <mergeCell ref="AQ84:AW84"/>
    <mergeCell ref="J81:O81"/>
    <mergeCell ref="P81:V81"/>
    <mergeCell ref="W81:AC81"/>
    <mergeCell ref="AD81:AI81"/>
    <mergeCell ref="AJ81:AP81"/>
    <mergeCell ref="AQ81:AW81"/>
    <mergeCell ref="J82:O82"/>
    <mergeCell ref="P82:V82"/>
    <mergeCell ref="W82:AC82"/>
    <mergeCell ref="AD82:AI82"/>
    <mergeCell ref="AJ82:AP82"/>
    <mergeCell ref="AQ82:AW82"/>
    <mergeCell ref="J78:O78"/>
    <mergeCell ref="P78:V78"/>
    <mergeCell ref="W78:AC78"/>
    <mergeCell ref="AD78:AI78"/>
    <mergeCell ref="AJ78:AP78"/>
    <mergeCell ref="AQ78:AW78"/>
    <mergeCell ref="J80:O80"/>
    <mergeCell ref="P80:V80"/>
    <mergeCell ref="W80:AC80"/>
    <mergeCell ref="AD80:AI80"/>
    <mergeCell ref="AJ80:AP80"/>
    <mergeCell ref="AQ80:AW80"/>
    <mergeCell ref="J71:O71"/>
    <mergeCell ref="P71:V71"/>
    <mergeCell ref="W71:AC71"/>
    <mergeCell ref="AD71:AI71"/>
    <mergeCell ref="AJ71:AP71"/>
    <mergeCell ref="AQ71:AW71"/>
    <mergeCell ref="J77:O77"/>
    <mergeCell ref="P77:V77"/>
    <mergeCell ref="W77:AC77"/>
    <mergeCell ref="AD77:AI77"/>
    <mergeCell ref="AJ77:AP77"/>
    <mergeCell ref="AQ77:AW77"/>
    <mergeCell ref="AQ68:AW68"/>
    <mergeCell ref="J69:O69"/>
    <mergeCell ref="P69:V69"/>
    <mergeCell ref="W69:AC69"/>
    <mergeCell ref="AD69:AI69"/>
    <mergeCell ref="AJ69:AP69"/>
    <mergeCell ref="AQ69:AW69"/>
    <mergeCell ref="J70:O70"/>
    <mergeCell ref="P70:V70"/>
    <mergeCell ref="W70:AC70"/>
    <mergeCell ref="AD70:AI70"/>
    <mergeCell ref="AJ70:AP70"/>
    <mergeCell ref="AQ70:AW70"/>
    <mergeCell ref="J65:O65"/>
    <mergeCell ref="P65:V65"/>
    <mergeCell ref="W65:AC65"/>
    <mergeCell ref="AD65:AI65"/>
    <mergeCell ref="AJ65:AP65"/>
    <mergeCell ref="AQ65:AW65"/>
    <mergeCell ref="J66:O66"/>
    <mergeCell ref="P66:V66"/>
    <mergeCell ref="W66:AC66"/>
    <mergeCell ref="AD66:AI66"/>
    <mergeCell ref="AJ66:AP66"/>
    <mergeCell ref="AQ66:AW66"/>
    <mergeCell ref="J63:O63"/>
    <mergeCell ref="P63:V63"/>
    <mergeCell ref="W63:AC63"/>
    <mergeCell ref="AD63:AI63"/>
    <mergeCell ref="AJ63:AP63"/>
    <mergeCell ref="AQ63:AW63"/>
    <mergeCell ref="J64:O64"/>
    <mergeCell ref="P64:V64"/>
    <mergeCell ref="W64:AC64"/>
    <mergeCell ref="AD64:AI64"/>
    <mergeCell ref="AJ64:AP64"/>
    <mergeCell ref="AQ64:AW64"/>
    <mergeCell ref="W61:AC61"/>
    <mergeCell ref="AD61:AI61"/>
    <mergeCell ref="AJ61:AP61"/>
    <mergeCell ref="AQ61:AW61"/>
    <mergeCell ref="J62:O62"/>
    <mergeCell ref="P62:V62"/>
    <mergeCell ref="W62:AC62"/>
    <mergeCell ref="AD62:AI62"/>
    <mergeCell ref="AJ62:AP62"/>
    <mergeCell ref="AQ62:AW62"/>
    <mergeCell ref="J194:AA194"/>
    <mergeCell ref="AF194:AW194"/>
    <mergeCell ref="G95:I95"/>
    <mergeCell ref="G96:I96"/>
    <mergeCell ref="G176:AW176"/>
    <mergeCell ref="G177:AW184"/>
    <mergeCell ref="G107:AA122"/>
    <mergeCell ref="AC107:AW122"/>
    <mergeCell ref="G126:AA141"/>
    <mergeCell ref="AC126:AW141"/>
    <mergeCell ref="G143:AA158"/>
    <mergeCell ref="AC143:AW158"/>
    <mergeCell ref="H162:Z162"/>
    <mergeCell ref="I187:Z187"/>
    <mergeCell ref="G100:AW103"/>
    <mergeCell ref="G99:AW99"/>
    <mergeCell ref="J95:O95"/>
    <mergeCell ref="AF186:AW186"/>
    <mergeCell ref="AF188:AW188"/>
    <mergeCell ref="G174:AC174"/>
    <mergeCell ref="AK174:AW174"/>
    <mergeCell ref="AF167:AW167"/>
    <mergeCell ref="AF168:AW168"/>
    <mergeCell ref="AF169:AK169"/>
    <mergeCell ref="G93:I93"/>
    <mergeCell ref="G94:I94"/>
    <mergeCell ref="J93:O93"/>
    <mergeCell ref="P93:V93"/>
    <mergeCell ref="W93:AC93"/>
    <mergeCell ref="AD93:AI93"/>
    <mergeCell ref="AJ93:AP93"/>
    <mergeCell ref="AQ93:AW93"/>
    <mergeCell ref="J94:O94"/>
    <mergeCell ref="P94:V94"/>
    <mergeCell ref="W94:AC94"/>
    <mergeCell ref="AD94:AI94"/>
    <mergeCell ref="AJ94:AP94"/>
    <mergeCell ref="AQ94:AW94"/>
    <mergeCell ref="G91:I91"/>
    <mergeCell ref="G92:I92"/>
    <mergeCell ref="J91:O91"/>
    <mergeCell ref="P91:V91"/>
    <mergeCell ref="W91:AC91"/>
    <mergeCell ref="AD91:AI91"/>
    <mergeCell ref="AJ91:AP91"/>
    <mergeCell ref="AQ91:AW91"/>
    <mergeCell ref="J92:O92"/>
    <mergeCell ref="P92:V92"/>
    <mergeCell ref="W92:AC92"/>
    <mergeCell ref="AD92:AI92"/>
    <mergeCell ref="AJ92:AP92"/>
    <mergeCell ref="AQ92:AW92"/>
    <mergeCell ref="G89:I89"/>
    <mergeCell ref="G90:I90"/>
    <mergeCell ref="J90:O90"/>
    <mergeCell ref="P90:V90"/>
    <mergeCell ref="W90:AC90"/>
    <mergeCell ref="AD90:AI90"/>
    <mergeCell ref="AJ90:AP90"/>
    <mergeCell ref="AQ90:AW90"/>
    <mergeCell ref="G88:I88"/>
    <mergeCell ref="J88:O88"/>
    <mergeCell ref="P88:V88"/>
    <mergeCell ref="J89:O89"/>
    <mergeCell ref="P89:V89"/>
    <mergeCell ref="W89:AC89"/>
    <mergeCell ref="AD89:AI89"/>
    <mergeCell ref="AJ89:AP89"/>
    <mergeCell ref="AQ89:AW89"/>
    <mergeCell ref="AK173:AL173"/>
    <mergeCell ref="AM173:AW173"/>
    <mergeCell ref="H186:Z186"/>
    <mergeCell ref="AQ169:AW169"/>
    <mergeCell ref="G78:I78"/>
    <mergeCell ref="G79:I79"/>
    <mergeCell ref="J79:O79"/>
    <mergeCell ref="P79:V79"/>
    <mergeCell ref="W79:AC79"/>
    <mergeCell ref="AD79:AI79"/>
    <mergeCell ref="AJ79:AP79"/>
    <mergeCell ref="AQ79:AW79"/>
    <mergeCell ref="G81:I81"/>
    <mergeCell ref="G80:I80"/>
    <mergeCell ref="G97:I97"/>
    <mergeCell ref="G87:I87"/>
    <mergeCell ref="G85:I85"/>
    <mergeCell ref="G86:I86"/>
    <mergeCell ref="J86:O86"/>
    <mergeCell ref="P86:V86"/>
    <mergeCell ref="W86:AC86"/>
    <mergeCell ref="AD86:AI86"/>
    <mergeCell ref="AJ86:AP86"/>
    <mergeCell ref="AQ86:AW86"/>
    <mergeCell ref="G77:I77"/>
    <mergeCell ref="AF162:AW162"/>
    <mergeCell ref="I163:Z163"/>
    <mergeCell ref="AF163:AW163"/>
    <mergeCell ref="AF164:AK164"/>
    <mergeCell ref="G82:I82"/>
    <mergeCell ref="G84:I84"/>
    <mergeCell ref="G83:I83"/>
    <mergeCell ref="G75:I75"/>
    <mergeCell ref="G76:I76"/>
    <mergeCell ref="J75:O75"/>
    <mergeCell ref="P75:V75"/>
    <mergeCell ref="W75:AC75"/>
    <mergeCell ref="AD75:AI75"/>
    <mergeCell ref="AJ75:AP75"/>
    <mergeCell ref="AQ75:AW75"/>
    <mergeCell ref="J76:O76"/>
    <mergeCell ref="P76:V76"/>
    <mergeCell ref="W76:AC76"/>
    <mergeCell ref="AD76:AI76"/>
    <mergeCell ref="AJ76:AP76"/>
    <mergeCell ref="AQ76:AW76"/>
    <mergeCell ref="J87:O87"/>
    <mergeCell ref="P87:V87"/>
    <mergeCell ref="G73:I73"/>
    <mergeCell ref="G74:I74"/>
    <mergeCell ref="J73:O73"/>
    <mergeCell ref="P73:V73"/>
    <mergeCell ref="W73:AC73"/>
    <mergeCell ref="AD73:AI73"/>
    <mergeCell ref="AJ73:AP73"/>
    <mergeCell ref="AQ73:AW73"/>
    <mergeCell ref="J74:O74"/>
    <mergeCell ref="P74:V74"/>
    <mergeCell ref="W74:AC74"/>
    <mergeCell ref="AD74:AI74"/>
    <mergeCell ref="AJ74:AP74"/>
    <mergeCell ref="AQ74:AW74"/>
    <mergeCell ref="G71:I71"/>
    <mergeCell ref="G72:I72"/>
    <mergeCell ref="J72:O72"/>
    <mergeCell ref="P72:V72"/>
    <mergeCell ref="W72:AC72"/>
    <mergeCell ref="AD72:AI72"/>
    <mergeCell ref="AJ72:AP72"/>
    <mergeCell ref="AQ72:AW72"/>
    <mergeCell ref="G66:I66"/>
    <mergeCell ref="G70:I70"/>
    <mergeCell ref="G69:I69"/>
    <mergeCell ref="J67:O67"/>
    <mergeCell ref="P67:V67"/>
    <mergeCell ref="W67:AC67"/>
    <mergeCell ref="AD67:AI67"/>
    <mergeCell ref="AJ67:AP67"/>
    <mergeCell ref="AQ67:AW67"/>
    <mergeCell ref="J68:O68"/>
    <mergeCell ref="P68:V68"/>
    <mergeCell ref="W68:AC68"/>
    <mergeCell ref="G68:I68"/>
    <mergeCell ref="G67:I67"/>
    <mergeCell ref="AD68:AI68"/>
    <mergeCell ref="AJ68:AP68"/>
    <mergeCell ref="G64:I64"/>
    <mergeCell ref="G63:I63"/>
    <mergeCell ref="G65:I65"/>
    <mergeCell ref="G57:AW57"/>
    <mergeCell ref="G58:I59"/>
    <mergeCell ref="AD58:AW58"/>
    <mergeCell ref="J58:AC58"/>
    <mergeCell ref="G61:I61"/>
    <mergeCell ref="G60:I60"/>
    <mergeCell ref="G62:I62"/>
    <mergeCell ref="J59:O59"/>
    <mergeCell ref="P59:V59"/>
    <mergeCell ref="W59:AC59"/>
    <mergeCell ref="AD59:AI59"/>
    <mergeCell ref="AJ59:AP59"/>
    <mergeCell ref="AQ59:AW59"/>
    <mergeCell ref="J60:O60"/>
    <mergeCell ref="P60:V60"/>
    <mergeCell ref="W60:AC60"/>
    <mergeCell ref="AD60:AI60"/>
    <mergeCell ref="AJ60:AP60"/>
    <mergeCell ref="AQ60:AW60"/>
    <mergeCell ref="J61:O61"/>
    <mergeCell ref="P61:V61"/>
    <mergeCell ref="G52:U52"/>
    <mergeCell ref="V52:Z52"/>
    <mergeCell ref="AA52:AU52"/>
    <mergeCell ref="AV52:AW52"/>
    <mergeCell ref="G53:U53"/>
    <mergeCell ref="V53:Z53"/>
    <mergeCell ref="AA53:AU53"/>
    <mergeCell ref="AV53:AW53"/>
    <mergeCell ref="G49:AW49"/>
    <mergeCell ref="G50:AI50"/>
    <mergeCell ref="AJ50:AW50"/>
    <mergeCell ref="G51:AI51"/>
    <mergeCell ref="AJ51:AW51"/>
    <mergeCell ref="G47:P47"/>
    <mergeCell ref="Q47:AA47"/>
    <mergeCell ref="AB47:AH47"/>
    <mergeCell ref="AI47:AJ47"/>
    <mergeCell ref="AK47:AP47"/>
    <mergeCell ref="AQ47:AR47"/>
    <mergeCell ref="G46:P46"/>
    <mergeCell ref="Q46:AA46"/>
    <mergeCell ref="AB46:AH46"/>
    <mergeCell ref="AI46:AJ46"/>
    <mergeCell ref="AK46:AP46"/>
    <mergeCell ref="AQ46:AW46"/>
    <mergeCell ref="AS47:AW47"/>
    <mergeCell ref="AB44:AH44"/>
    <mergeCell ref="AI44:AJ44"/>
    <mergeCell ref="AK44:AP44"/>
    <mergeCell ref="AQ44:AR44"/>
    <mergeCell ref="AS44:AW44"/>
    <mergeCell ref="G41:X41"/>
    <mergeCell ref="Y41:AJ41"/>
    <mergeCell ref="AK41:AP41"/>
    <mergeCell ref="AQ41:AR41"/>
    <mergeCell ref="AS41:AW41"/>
    <mergeCell ref="G43:P43"/>
    <mergeCell ref="Q43:AA43"/>
    <mergeCell ref="AB43:AH43"/>
    <mergeCell ref="AI43:AJ43"/>
    <mergeCell ref="AK43:AP43"/>
    <mergeCell ref="J193:O193"/>
    <mergeCell ref="U193:AA193"/>
    <mergeCell ref="G13:I13"/>
    <mergeCell ref="K13:M13"/>
    <mergeCell ref="AF187:AW187"/>
    <mergeCell ref="AF192:AW192"/>
    <mergeCell ref="O13:AW16"/>
    <mergeCell ref="G18:AW18"/>
    <mergeCell ref="K26:AW26"/>
    <mergeCell ref="G27:I27"/>
    <mergeCell ref="J192:AA192"/>
    <mergeCell ref="U35:AV35"/>
    <mergeCell ref="U36:AV36"/>
    <mergeCell ref="G40:X40"/>
    <mergeCell ref="Y40:AJ40"/>
    <mergeCell ref="AK40:AP40"/>
    <mergeCell ref="AQ40:AW40"/>
    <mergeCell ref="G28:I28"/>
    <mergeCell ref="K28:AW28"/>
    <mergeCell ref="G29:I29"/>
    <mergeCell ref="K29:AW29"/>
    <mergeCell ref="S32:T32"/>
    <mergeCell ref="U32:Z32"/>
    <mergeCell ref="AP32:AW32"/>
    <mergeCell ref="T3:AU3"/>
    <mergeCell ref="T4:AU4"/>
    <mergeCell ref="T5:AU5"/>
    <mergeCell ref="G10:I10"/>
    <mergeCell ref="K10:M10"/>
    <mergeCell ref="O10:AW11"/>
    <mergeCell ref="AF191:AW191"/>
    <mergeCell ref="AF190:AW190"/>
    <mergeCell ref="J190:AA190"/>
    <mergeCell ref="J191:AA191"/>
    <mergeCell ref="G25:I25"/>
    <mergeCell ref="K25:AW25"/>
    <mergeCell ref="G26:I26"/>
    <mergeCell ref="S33:Z33"/>
    <mergeCell ref="AP33:AW33"/>
    <mergeCell ref="K27:AW27"/>
    <mergeCell ref="G20:AW20"/>
    <mergeCell ref="G22:I22"/>
    <mergeCell ref="K22:AW22"/>
    <mergeCell ref="G24:I24"/>
    <mergeCell ref="K24:AW24"/>
    <mergeCell ref="AQ43:AW43"/>
    <mergeCell ref="G44:P44"/>
    <mergeCell ref="Q44:AA44"/>
  </mergeCells>
  <conditionalFormatting sqref="G13:G14">
    <cfRule type="cellIs" dxfId="82" priority="93" stopIfTrue="1" operator="equal">
      <formula>0</formula>
    </cfRule>
  </conditionalFormatting>
  <conditionalFormatting sqref="AK44:AW44 G41:AW41 G44:P44 G47:P47">
    <cfRule type="cellIs" dxfId="81" priority="81" stopIfTrue="1" operator="equal">
      <formula>0</formula>
    </cfRule>
  </conditionalFormatting>
  <conditionalFormatting sqref="Q44:AH44 Q47:AH47">
    <cfRule type="cellIs" dxfId="80" priority="88" stopIfTrue="1" operator="equal">
      <formula>0</formula>
    </cfRule>
  </conditionalFormatting>
  <conditionalFormatting sqref="AI44:AJ44">
    <cfRule type="cellIs" dxfId="79" priority="87" stopIfTrue="1" operator="equal">
      <formula>0</formula>
    </cfRule>
  </conditionalFormatting>
  <conditionalFormatting sqref="AV53:AW53">
    <cfRule type="cellIs" dxfId="78" priority="85" stopIfTrue="1" operator="equal">
      <formula>0</formula>
    </cfRule>
  </conditionalFormatting>
  <conditionalFormatting sqref="G51:AW51">
    <cfRule type="cellIs" dxfId="77" priority="84" stopIfTrue="1" operator="equal">
      <formula>0</formula>
    </cfRule>
  </conditionalFormatting>
  <conditionalFormatting sqref="G53:AU53">
    <cfRule type="cellIs" dxfId="76" priority="83" stopIfTrue="1" operator="equal">
      <formula>0</formula>
    </cfRule>
  </conditionalFormatting>
  <conditionalFormatting sqref="AK47:AW47">
    <cfRule type="cellIs" dxfId="75" priority="78" stopIfTrue="1" operator="equal">
      <formula>0</formula>
    </cfRule>
  </conditionalFormatting>
  <conditionalFormatting sqref="AI47:AJ47">
    <cfRule type="cellIs" dxfId="74" priority="79" stopIfTrue="1" operator="equal">
      <formula>0</formula>
    </cfRule>
  </conditionalFormatting>
  <conditionalFormatting sqref="G100:AW103 AQ191:AW193 G177:AW184">
    <cfRule type="cellIs" dxfId="73" priority="77" stopIfTrue="1" operator="equal">
      <formula>0</formula>
    </cfRule>
  </conditionalFormatting>
  <conditionalFormatting sqref="H162:Z162">
    <cfRule type="cellIs" dxfId="72" priority="69" stopIfTrue="1" operator="equal">
      <formula>0</formula>
    </cfRule>
  </conditionalFormatting>
  <conditionalFormatting sqref="AF191:AK193">
    <cfRule type="cellIs" dxfId="71" priority="42" stopIfTrue="1" operator="equal">
      <formula>0</formula>
    </cfRule>
  </conditionalFormatting>
  <conditionalFormatting sqref="H186:Z186">
    <cfRule type="cellIs" dxfId="70" priority="40" stopIfTrue="1" operator="equal">
      <formula>0</formula>
    </cfRule>
  </conditionalFormatting>
  <conditionalFormatting sqref="AF163:AW163">
    <cfRule type="cellIs" dxfId="69" priority="38" stopIfTrue="1" operator="equal">
      <formula>0</formula>
    </cfRule>
  </conditionalFormatting>
  <conditionalFormatting sqref="AF164:AK164">
    <cfRule type="cellIs" dxfId="68" priority="37" stopIfTrue="1" operator="equal">
      <formula>0</formula>
    </cfRule>
  </conditionalFormatting>
  <conditionalFormatting sqref="AQ169:AW169">
    <cfRule type="cellIs" dxfId="67" priority="36" stopIfTrue="1" operator="equal">
      <formula>"0/0"</formula>
    </cfRule>
  </conditionalFormatting>
  <conditionalFormatting sqref="AF168:AW168">
    <cfRule type="cellIs" dxfId="66" priority="35" stopIfTrue="1" operator="equal">
      <formula>0</formula>
    </cfRule>
  </conditionalFormatting>
  <conditionalFormatting sqref="AF169:AK169">
    <cfRule type="cellIs" dxfId="65" priority="34" stopIfTrue="1" operator="equal">
      <formula>0</formula>
    </cfRule>
  </conditionalFormatting>
  <conditionalFormatting sqref="AK174">
    <cfRule type="cellIs" dxfId="64" priority="33" stopIfTrue="1" operator="equal">
      <formula>0</formula>
    </cfRule>
  </conditionalFormatting>
  <conditionalFormatting sqref="S33:Z33">
    <cfRule type="cellIs" dxfId="63" priority="32" stopIfTrue="1" operator="equal">
      <formula>0</formula>
    </cfRule>
  </conditionalFormatting>
  <conditionalFormatting sqref="G107:AA123 AC107:AW123 AC126:AW158 G126:AA158">
    <cfRule type="cellIs" dxfId="62" priority="31" stopIfTrue="1" operator="equal">
      <formula>"Descrever foto"</formula>
    </cfRule>
  </conditionalFormatting>
  <conditionalFormatting sqref="AF192:AW192">
    <cfRule type="cellIs" dxfId="61" priority="25" stopIfTrue="1" operator="equal">
      <formula>0</formula>
    </cfRule>
  </conditionalFormatting>
  <conditionalFormatting sqref="U193:AA193">
    <cfRule type="cellIs" dxfId="60" priority="30" stopIfTrue="1" operator="equal">
      <formula>0</formula>
    </cfRule>
  </conditionalFormatting>
  <conditionalFormatting sqref="J191:AA191">
    <cfRule type="cellIs" dxfId="59" priority="29" stopIfTrue="1" operator="equal">
      <formula>0</formula>
    </cfRule>
  </conditionalFormatting>
  <conditionalFormatting sqref="J193:O193">
    <cfRule type="cellIs" dxfId="58" priority="28" stopIfTrue="1" operator="equal">
      <formula>0</formula>
    </cfRule>
  </conditionalFormatting>
  <conditionalFormatting sqref="J192:AA192">
    <cfRule type="cellIs" dxfId="57" priority="27" stopIfTrue="1" operator="equal">
      <formula>0</formula>
    </cfRule>
  </conditionalFormatting>
  <conditionalFormatting sqref="AF191:AW191">
    <cfRule type="cellIs" dxfId="56" priority="26" stopIfTrue="1" operator="equal">
      <formula>0</formula>
    </cfRule>
  </conditionalFormatting>
  <conditionalFormatting sqref="J194:AA194">
    <cfRule type="cellIs" dxfId="55" priority="22" stopIfTrue="1" operator="equal">
      <formula>0</formula>
    </cfRule>
  </conditionalFormatting>
  <conditionalFormatting sqref="AD97">
    <cfRule type="cellIs" dxfId="54" priority="20" stopIfTrue="1" operator="equal">
      <formula>0</formula>
    </cfRule>
  </conditionalFormatting>
  <conditionalFormatting sqref="AD97">
    <cfRule type="cellIs" dxfId="53" priority="21" stopIfTrue="1" operator="notEqual">
      <formula>1</formula>
    </cfRule>
  </conditionalFormatting>
  <conditionalFormatting sqref="AJ61:AP96">
    <cfRule type="cellIs" dxfId="52" priority="19" stopIfTrue="1" operator="equal">
      <formula>0</formula>
    </cfRule>
  </conditionalFormatting>
  <conditionalFormatting sqref="J97">
    <cfRule type="cellIs" dxfId="51" priority="17" stopIfTrue="1" operator="equal">
      <formula>0</formula>
    </cfRule>
  </conditionalFormatting>
  <conditionalFormatting sqref="J97">
    <cfRule type="cellIs" dxfId="50" priority="18" stopIfTrue="1" operator="notEqual">
      <formula>1</formula>
    </cfRule>
  </conditionalFormatting>
  <conditionalFormatting sqref="W61:W97">
    <cfRule type="cellIs" dxfId="49" priority="16" stopIfTrue="1" operator="equal">
      <formula>0</formula>
    </cfRule>
  </conditionalFormatting>
  <conditionalFormatting sqref="AD61:AI96">
    <cfRule type="cellIs" dxfId="48" priority="15" stopIfTrue="1" operator="equal">
      <formula>0</formula>
    </cfRule>
  </conditionalFormatting>
  <conditionalFormatting sqref="AQ97">
    <cfRule type="cellIs" dxfId="47" priority="14" stopIfTrue="1" operator="equal">
      <formula>0</formula>
    </cfRule>
  </conditionalFormatting>
  <conditionalFormatting sqref="AJ97">
    <cfRule type="cellIs" dxfId="46" priority="13" stopIfTrue="1" operator="equal">
      <formula>0</formula>
    </cfRule>
  </conditionalFormatting>
  <conditionalFormatting sqref="AQ59 AJ59">
    <cfRule type="expression" dxfId="45" priority="12" stopIfTrue="1">
      <formula>recursos&lt;&gt;"FGTS/SBPE"</formula>
    </cfRule>
  </conditionalFormatting>
  <conditionalFormatting sqref="AD59">
    <cfRule type="expression" dxfId="44" priority="11" stopIfTrue="1">
      <formula>recursos&lt;&gt;"FGTS/SBPE"</formula>
    </cfRule>
  </conditionalFormatting>
  <conditionalFormatting sqref="W59 P59">
    <cfRule type="expression" dxfId="43" priority="10" stopIfTrue="1">
      <formula>recursos&lt;&gt;"FGTS/SBPE"</formula>
    </cfRule>
  </conditionalFormatting>
  <conditionalFormatting sqref="J59">
    <cfRule type="expression" dxfId="42" priority="9" stopIfTrue="1">
      <formula>recursos&lt;&gt;"FGTS/SBPE"</formula>
    </cfRule>
  </conditionalFormatting>
  <conditionalFormatting sqref="AQ60">
    <cfRule type="cellIs" dxfId="41" priority="8" stopIfTrue="1" operator="equal">
      <formula>0</formula>
    </cfRule>
  </conditionalFormatting>
  <conditionalFormatting sqref="AJ60">
    <cfRule type="cellIs" dxfId="40" priority="7" stopIfTrue="1" operator="equal">
      <formula>0</formula>
    </cfRule>
  </conditionalFormatting>
  <conditionalFormatting sqref="W60">
    <cfRule type="cellIs" dxfId="39" priority="6" stopIfTrue="1" operator="equal">
      <formula>0</formula>
    </cfRule>
  </conditionalFormatting>
  <conditionalFormatting sqref="J60:J96">
    <cfRule type="cellIs" dxfId="38" priority="5" stopIfTrue="1" operator="equal">
      <formula>0</formula>
    </cfRule>
  </conditionalFormatting>
  <conditionalFormatting sqref="P60:V96">
    <cfRule type="cellIs" dxfId="37" priority="4" stopIfTrue="1" operator="equal">
      <formula>0</formula>
    </cfRule>
  </conditionalFormatting>
  <conditionalFormatting sqref="AD60:AI60">
    <cfRule type="cellIs" dxfId="36" priority="3" stopIfTrue="1" operator="equal">
      <formula>0</formula>
    </cfRule>
  </conditionalFormatting>
  <conditionalFormatting sqref="AQ61:AQ96">
    <cfRule type="cellIs" dxfId="35" priority="2" stopIfTrue="1" operator="equal">
      <formula>0</formula>
    </cfRule>
  </conditionalFormatting>
  <conditionalFormatting sqref="P97">
    <cfRule type="cellIs" dxfId="34" priority="1" stopIfTrue="1" operator="equal">
      <formula>0</formula>
    </cfRule>
  </conditionalFormatting>
  <printOptions horizontalCentered="1"/>
  <pageMargins left="0.78740157480314965" right="0.19685039370078741" top="0.78740157480314965" bottom="0.59055118110236227" header="0.39370078740157483" footer="0.39370078740157483"/>
  <pageSetup paperSize="9" scale="92" fitToHeight="0" orientation="portrait" horizontalDpi="1200" verticalDpi="1200" r:id="rId1"/>
  <headerFooter>
    <oddHeader>&amp;C&amp;6.&amp;L&amp;6Esse arquivo é gratuito e de uso
exclusivo entre CAIXA, seus
representantes legais e clientes. &amp;R&amp;6Esse Documento só tem validade se estiver
assinado pelo Proponente e pelo Responsável
Técnico pela execução da obra devidamente identificados.</oddHeader>
    <oddFooter>&amp;LVigência: 11/08/2023&amp;C&amp;A 
&amp;8Construção em Terreno Próprio e Aquisição de Terreno e Construção&amp;R&amp;P/&amp;N</oddFooter>
  </headerFooter>
  <rowBreaks count="2" manualBreakCount="2">
    <brk id="104" min="5" max="49" man="1"/>
    <brk id="170" min="5" max="49" man="1"/>
  </rowBreaks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8">
    <pageSetUpPr fitToPage="1"/>
  </sheetPr>
  <dimension ref="A1:FO124"/>
  <sheetViews>
    <sheetView showGridLines="0" tabSelected="1" view="pageBreakPreview" topLeftCell="F2" zoomScaleNormal="100" zoomScaleSheetLayoutView="100" workbookViewId="0">
      <selection activeCell="G65" sqref="G65:AW70"/>
    </sheetView>
  </sheetViews>
  <sheetFormatPr defaultColWidth="3.6640625" defaultRowHeight="13.2" x14ac:dyDescent="0.25"/>
  <cols>
    <col min="1" max="4" width="6.6640625" style="8" hidden="1" customWidth="1"/>
    <col min="5" max="5" width="6.6640625" style="9" hidden="1" customWidth="1"/>
    <col min="6" max="6" width="0.88671875" style="12" customWidth="1"/>
    <col min="7" max="49" width="2.33203125" style="12" customWidth="1"/>
    <col min="50" max="50" width="0.88671875" style="12" customWidth="1"/>
    <col min="51" max="51" width="4.6640625" style="12" customWidth="1"/>
    <col min="52" max="52" width="4.6640625" style="11" customWidth="1"/>
    <col min="53" max="53" width="4.6640625" style="11" hidden="1" customWidth="1"/>
    <col min="54" max="54" width="6.5546875" style="11" hidden="1" customWidth="1"/>
    <col min="55" max="61" width="0" style="11" hidden="1" customWidth="1"/>
    <col min="62" max="66" width="3.6640625" style="11"/>
    <col min="67" max="70" width="6.6640625" style="11" customWidth="1"/>
    <col min="71" max="73" width="8.6640625" style="11" customWidth="1"/>
    <col min="74" max="131" width="3.6640625" style="11"/>
    <col min="132" max="183" width="3.6640625" style="12"/>
    <col min="184" max="185" width="3" style="12" customWidth="1"/>
    <col min="186" max="16384" width="3.6640625" style="12"/>
  </cols>
  <sheetData>
    <row r="1" spans="1:171" ht="5.0999999999999996" hidden="1" customHeight="1" x14ac:dyDescent="0.25">
      <c r="F1" s="10" t="s">
        <v>25</v>
      </c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0" t="s">
        <v>38</v>
      </c>
      <c r="BA1" s="83" t="str">
        <f>Lista!A1</f>
        <v>Teto</v>
      </c>
      <c r="BB1" s="83" t="str">
        <f>Lista!B1</f>
        <v>Cobertura</v>
      </c>
      <c r="BC1" s="83" t="str">
        <f>Lista!C1</f>
        <v>Acabamento Externo/Interno</v>
      </c>
      <c r="BD1" s="83" t="str">
        <f>Lista!D1</f>
        <v>Esquadrias Externas/Internas</v>
      </c>
      <c r="BE1" s="83" t="str">
        <f>Lista!F1</f>
        <v>Revestimento Piso Áreas Molhadas</v>
      </c>
      <c r="BF1" s="83" t="str">
        <f>Lista!E1</f>
        <v>Revestimento Parede Áreas Molhadas</v>
      </c>
      <c r="BG1" s="83" t="str">
        <f>Lista!G1</f>
        <v>Revestimento Piso Áreas Secas</v>
      </c>
      <c r="BH1" s="83" t="str">
        <f>Lista!H1</f>
        <v xml:space="preserve">Paredes/Painéis </v>
      </c>
      <c r="BI1" s="83" t="str">
        <f>Lista!I1</f>
        <v>Louças e Metais</v>
      </c>
    </row>
    <row r="2" spans="1:171" s="16" customFormat="1" ht="13.8" x14ac:dyDescent="0.25">
      <c r="A2" s="13" t="s">
        <v>3</v>
      </c>
      <c r="B2" s="14" t="s">
        <v>4</v>
      </c>
      <c r="C2" s="13" t="s">
        <v>5</v>
      </c>
      <c r="D2" s="13" t="s">
        <v>6</v>
      </c>
      <c r="E2" s="13" t="s">
        <v>7</v>
      </c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2"/>
      <c r="AI2" s="3"/>
      <c r="BA2" s="83" t="str">
        <f>Lista!A2</f>
        <v>Telha aparente</v>
      </c>
      <c r="BB2" s="83" t="str">
        <f>Lista!B2</f>
        <v>Telha Metálica c/ Platibanda</v>
      </c>
      <c r="BC2" s="83" t="str">
        <f>Lista!C2</f>
        <v>Sem revestimento</v>
      </c>
      <c r="BD2" s="83" t="str">
        <f>Lista!D2</f>
        <v>Alumínio</v>
      </c>
      <c r="BE2" s="83" t="str">
        <f>Lista!F2</f>
        <v>Cimentado</v>
      </c>
      <c r="BF2" s="83" t="str">
        <f>Lista!E2</f>
        <v>Cimentado</v>
      </c>
      <c r="BG2" s="83" t="str">
        <f>Lista!G2</f>
        <v>Cimentado</v>
      </c>
      <c r="BH2" s="83" t="str">
        <f>Lista!H2</f>
        <v>Alvenaria</v>
      </c>
      <c r="BI2" s="83" t="str">
        <f>Lista!I2</f>
        <v>Linha Popular</v>
      </c>
    </row>
    <row r="3" spans="1:171" s="11" customFormat="1" ht="16.2" x14ac:dyDescent="0.25">
      <c r="A3" s="17"/>
      <c r="B3" s="17"/>
      <c r="C3" s="13"/>
      <c r="D3" s="13"/>
      <c r="E3" s="18"/>
      <c r="F3" s="19"/>
      <c r="G3" s="19"/>
      <c r="H3" s="19"/>
      <c r="I3" s="4"/>
      <c r="J3" s="4"/>
      <c r="K3" s="4"/>
      <c r="L3" s="4"/>
      <c r="M3" s="4"/>
      <c r="N3" s="4"/>
      <c r="O3" s="4"/>
      <c r="P3" s="4"/>
      <c r="Q3" s="4"/>
      <c r="R3" s="19"/>
      <c r="S3" s="19"/>
      <c r="T3" s="600" t="s">
        <v>42</v>
      </c>
      <c r="U3" s="600"/>
      <c r="V3" s="600"/>
      <c r="W3" s="600"/>
      <c r="X3" s="600"/>
      <c r="Y3" s="600"/>
      <c r="Z3" s="600"/>
      <c r="AA3" s="600"/>
      <c r="AB3" s="600"/>
      <c r="AC3" s="600"/>
      <c r="AD3" s="600"/>
      <c r="AE3" s="600"/>
      <c r="AF3" s="600"/>
      <c r="AG3" s="600"/>
      <c r="AH3" s="600"/>
      <c r="AI3" s="600"/>
      <c r="AJ3" s="600"/>
      <c r="AK3" s="600"/>
      <c r="AL3" s="600"/>
      <c r="AM3" s="600"/>
      <c r="AN3" s="600"/>
      <c r="AO3" s="600"/>
      <c r="AP3" s="600"/>
      <c r="AQ3" s="600"/>
      <c r="AR3" s="600"/>
      <c r="AS3" s="600"/>
      <c r="AT3" s="600"/>
      <c r="AU3" s="600"/>
      <c r="AV3" s="19"/>
      <c r="AW3" s="19"/>
      <c r="AX3" s="19"/>
      <c r="BA3" s="83" t="str">
        <f>Lista!A3</f>
        <v>Forro</v>
      </c>
      <c r="BB3" s="83" t="str">
        <f>Lista!B3</f>
        <v>Telha Metálica s/ Platibanda</v>
      </c>
      <c r="BC3" s="83" t="str">
        <f>Lista!C3</f>
        <v>Pintura/Textura/Grafiato</v>
      </c>
      <c r="BD3" s="83" t="str">
        <f>Lista!D3</f>
        <v>Ferro</v>
      </c>
      <c r="BE3" s="83" t="str">
        <f>Lista!F3</f>
        <v>Cerâmica Comercial</v>
      </c>
      <c r="BF3" s="83" t="str">
        <f>Lista!E3</f>
        <v>Cerâmica Comercial</v>
      </c>
      <c r="BG3" s="83" t="str">
        <f>Lista!G3</f>
        <v>Cerâmica Comercial</v>
      </c>
      <c r="BH3" s="83" t="str">
        <f>Lista!H3</f>
        <v>Gesso</v>
      </c>
      <c r="BI3" s="83" t="str">
        <f>Lista!I3</f>
        <v>Linha Média</v>
      </c>
    </row>
    <row r="4" spans="1:171" s="11" customFormat="1" ht="14.4" x14ac:dyDescent="0.25">
      <c r="A4" s="17">
        <v>1</v>
      </c>
      <c r="B4" s="17"/>
      <c r="C4" s="13"/>
      <c r="D4" s="13"/>
      <c r="E4" s="18"/>
      <c r="F4" s="20"/>
      <c r="G4" s="20"/>
      <c r="H4" s="20"/>
      <c r="I4" s="21"/>
      <c r="J4" s="21"/>
      <c r="K4" s="21"/>
      <c r="L4" s="21"/>
      <c r="M4" s="21"/>
      <c r="N4" s="21"/>
      <c r="O4" s="21"/>
      <c r="P4" s="21"/>
      <c r="Q4" s="21"/>
      <c r="R4" s="20"/>
      <c r="S4" s="20"/>
      <c r="T4" s="601" t="s">
        <v>0</v>
      </c>
      <c r="U4" s="601"/>
      <c r="V4" s="601"/>
      <c r="W4" s="601"/>
      <c r="X4" s="601"/>
      <c r="Y4" s="601"/>
      <c r="Z4" s="601"/>
      <c r="AA4" s="601"/>
      <c r="AB4" s="601"/>
      <c r="AC4" s="601"/>
      <c r="AD4" s="601"/>
      <c r="AE4" s="601"/>
      <c r="AF4" s="601"/>
      <c r="AG4" s="601"/>
      <c r="AH4" s="601"/>
      <c r="AI4" s="601"/>
      <c r="AJ4" s="601"/>
      <c r="AK4" s="601"/>
      <c r="AL4" s="601"/>
      <c r="AM4" s="601"/>
      <c r="AN4" s="601"/>
      <c r="AO4" s="601"/>
      <c r="AP4" s="601"/>
      <c r="AQ4" s="601"/>
      <c r="AR4" s="601"/>
      <c r="AS4" s="601"/>
      <c r="AT4" s="601"/>
      <c r="AU4" s="601"/>
      <c r="AV4" s="20"/>
      <c r="AW4" s="20"/>
      <c r="AX4" s="20"/>
      <c r="BA4" s="83" t="str">
        <f>Lista!A4</f>
        <v>Laje</v>
      </c>
      <c r="BB4" s="83" t="str">
        <f>Lista!B4</f>
        <v>Telha de Fibrocimto. c/ Platibanda</v>
      </c>
      <c r="BC4" s="83" t="str">
        <f>Lista!C4</f>
        <v>Pint./Text./Grafto. e det. em Pedra/Cerâmica</v>
      </c>
      <c r="BD4" s="83" t="str">
        <f>Lista!D4</f>
        <v>Vidro Temperado</v>
      </c>
      <c r="BE4" s="83" t="str">
        <f>Lista!F4</f>
        <v>Pedra</v>
      </c>
      <c r="BF4" s="83" t="str">
        <f>Lista!E4</f>
        <v>São Tomé</v>
      </c>
      <c r="BG4" s="83" t="str">
        <f>Lista!G4</f>
        <v>Pedra</v>
      </c>
      <c r="BH4" s="83" t="str">
        <f>Lista!H4</f>
        <v>Madeira</v>
      </c>
      <c r="BI4" s="83" t="str">
        <f>Lista!I4</f>
        <v>Linha Luxo</v>
      </c>
    </row>
    <row r="5" spans="1:171" s="11" customFormat="1" x14ac:dyDescent="0.25">
      <c r="A5" s="17" t="s">
        <v>287</v>
      </c>
      <c r="B5" s="17"/>
      <c r="C5" s="13"/>
      <c r="D5" s="13"/>
      <c r="E5" s="18"/>
      <c r="F5" s="22"/>
      <c r="G5" s="22"/>
      <c r="H5" s="22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02" t="s">
        <v>43</v>
      </c>
      <c r="U5" s="602"/>
      <c r="V5" s="602"/>
      <c r="W5" s="602"/>
      <c r="X5" s="602"/>
      <c r="Y5" s="602"/>
      <c r="Z5" s="602"/>
      <c r="AA5" s="602"/>
      <c r="AB5" s="602"/>
      <c r="AC5" s="602"/>
      <c r="AD5" s="602"/>
      <c r="AE5" s="602"/>
      <c r="AF5" s="602"/>
      <c r="AG5" s="602"/>
      <c r="AH5" s="602"/>
      <c r="AI5" s="602"/>
      <c r="AJ5" s="602"/>
      <c r="AK5" s="602"/>
      <c r="AL5" s="602"/>
      <c r="AM5" s="602"/>
      <c r="AN5" s="602"/>
      <c r="AO5" s="602"/>
      <c r="AP5" s="602"/>
      <c r="AQ5" s="602"/>
      <c r="AR5" s="602"/>
      <c r="AS5" s="602"/>
      <c r="AT5" s="602"/>
      <c r="AU5" s="602"/>
      <c r="BA5" s="83" t="str">
        <f>Lista!A6</f>
        <v>Outros</v>
      </c>
      <c r="BB5" s="83" t="str">
        <f>Lista!B5</f>
        <v>Telha de Fibrocimto. s/ Platibanda</v>
      </c>
      <c r="BC5" s="83" t="str">
        <f>Lista!C5</f>
        <v>Cerâmica/Porcelanato</v>
      </c>
      <c r="BD5" s="83" t="str">
        <f>Lista!D5</f>
        <v>PVC</v>
      </c>
      <c r="BE5" s="83" t="str">
        <f>Lista!F5</f>
        <v>Porcelanato 1ª</v>
      </c>
      <c r="BF5" s="83" t="str">
        <f>Lista!E5</f>
        <v>Emborrachado</v>
      </c>
      <c r="BG5" s="83" t="str">
        <f>Lista!G5</f>
        <v>Vinílico</v>
      </c>
      <c r="BH5" s="83" t="str">
        <f>Lista!H5</f>
        <v>Concreto</v>
      </c>
      <c r="BI5" s="83">
        <f>Lista!I5</f>
        <v>0</v>
      </c>
    </row>
    <row r="6" spans="1:171" s="11" customFormat="1" x14ac:dyDescent="0.25">
      <c r="A6" s="17"/>
      <c r="B6" s="17"/>
      <c r="C6" s="13"/>
      <c r="D6" s="13"/>
      <c r="E6" s="18"/>
      <c r="F6"/>
      <c r="G6" s="23" t="s">
        <v>68</v>
      </c>
      <c r="H6"/>
      <c r="I6"/>
      <c r="J6" s="24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BA6" s="83" t="e">
        <f>Lista!#REF!</f>
        <v>#REF!</v>
      </c>
      <c r="BB6" s="83" t="str">
        <f>Lista!B6</f>
        <v>Telha de Barro/Concreto</v>
      </c>
      <c r="BC6" s="83" t="str">
        <f>Lista!C6</f>
        <v>Tijolo/Blc. Apar. Tratado/Imperm.</v>
      </c>
      <c r="BD6" s="83" t="str">
        <f>Lista!D6</f>
        <v>Madeira</v>
      </c>
      <c r="BE6" s="83" t="str">
        <f>Lista!F6</f>
        <v>Porcelanato 2ª</v>
      </c>
      <c r="BF6" s="83" t="str">
        <f>Lista!E6</f>
        <v>Granita</v>
      </c>
      <c r="BG6" s="83" t="str">
        <f>Lista!G6</f>
        <v>Emborrachado</v>
      </c>
      <c r="BH6" s="83" t="str">
        <f>Lista!H6</f>
        <v>Aço</v>
      </c>
      <c r="BI6" s="83">
        <f>Lista!I6</f>
        <v>0</v>
      </c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</row>
    <row r="7" spans="1:171" s="11" customFormat="1" ht="3.9" customHeight="1" x14ac:dyDescent="0.25">
      <c r="A7" s="17"/>
      <c r="B7" s="17"/>
      <c r="C7" s="13"/>
      <c r="D7" s="13"/>
      <c r="E7" s="18"/>
      <c r="F7"/>
      <c r="G7" s="25"/>
      <c r="H7" s="25"/>
      <c r="I7" s="26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BA7" s="83">
        <f>Lista!A7</f>
        <v>0</v>
      </c>
      <c r="BB7" s="83" t="str">
        <f>Lista!B7</f>
        <v>Laje Impermeabilizada</v>
      </c>
      <c r="BC7" s="83" t="str">
        <f>Lista!C7</f>
        <v>Outros</v>
      </c>
      <c r="BD7" s="83" t="str">
        <f>Lista!D7</f>
        <v>Outros</v>
      </c>
      <c r="BE7" s="83" t="str">
        <f>Lista!F7</f>
        <v>Granito/Mármore</v>
      </c>
      <c r="BF7" s="83" t="str">
        <f>Lista!E7</f>
        <v>Formicado</v>
      </c>
      <c r="BG7" s="83" t="str">
        <f>Lista!G7</f>
        <v>Porcelanato 1ª</v>
      </c>
      <c r="BH7" s="83" t="str">
        <f>Lista!H7</f>
        <v>Outros</v>
      </c>
      <c r="BI7" s="83">
        <f>Lista!I7</f>
        <v>0</v>
      </c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</row>
    <row r="8" spans="1:171" s="11" customFormat="1" x14ac:dyDescent="0.25">
      <c r="A8" s="17"/>
      <c r="B8" s="17"/>
      <c r="C8" s="13"/>
      <c r="D8" s="13"/>
      <c r="E8" s="18"/>
      <c r="F8"/>
      <c r="G8" s="22" t="s">
        <v>37</v>
      </c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BA8" s="83">
        <f>Lista!A8</f>
        <v>0</v>
      </c>
      <c r="BB8" s="83" t="str">
        <f>Lista!B8</f>
        <v>Outros</v>
      </c>
      <c r="BC8" s="83">
        <f>Lista!C8</f>
        <v>0</v>
      </c>
      <c r="BD8" s="83">
        <f>Lista!D8</f>
        <v>0</v>
      </c>
      <c r="BE8" s="83" t="str">
        <f>Lista!F8</f>
        <v>Outros</v>
      </c>
      <c r="BF8" s="83" t="str">
        <f>Lista!E8</f>
        <v>Porcelanato 2ª</v>
      </c>
      <c r="BG8" s="83" t="str">
        <f>Lista!G8</f>
        <v>Porcelanato 2ª</v>
      </c>
      <c r="BH8" s="83">
        <f>Lista!H8</f>
        <v>0</v>
      </c>
      <c r="BI8" s="83">
        <f>Lista!I8</f>
        <v>0</v>
      </c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 s="60"/>
      <c r="DA8" s="60"/>
      <c r="DB8" s="60"/>
      <c r="DC8" s="60"/>
      <c r="DD8" s="60"/>
      <c r="DE8" s="60"/>
      <c r="DF8" s="60"/>
      <c r="DG8" s="60"/>
      <c r="DH8" s="60"/>
      <c r="DI8" s="60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</row>
    <row r="9" spans="1:171" s="11" customFormat="1" ht="3.9" customHeight="1" x14ac:dyDescent="0.25">
      <c r="A9" s="17"/>
      <c r="B9" s="17"/>
      <c r="C9" s="13"/>
      <c r="D9" s="13"/>
      <c r="E9" s="18"/>
      <c r="F9"/>
      <c r="G9" s="25"/>
      <c r="H9" s="25"/>
      <c r="I9" s="26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BA9" s="83">
        <f>Lista!A9</f>
        <v>0</v>
      </c>
      <c r="BB9" s="83">
        <f>Lista!B9</f>
        <v>0</v>
      </c>
      <c r="BC9" s="83">
        <f>Lista!C9</f>
        <v>0</v>
      </c>
      <c r="BD9" s="83">
        <f>Lista!D9</f>
        <v>0</v>
      </c>
      <c r="BE9" s="83" t="e">
        <f>Lista!#REF!</f>
        <v>#REF!</v>
      </c>
      <c r="BF9" s="83" t="str">
        <f>Lista!E9</f>
        <v>Granito/Mármore 2ª</v>
      </c>
      <c r="BG9" s="83" t="str">
        <f>Lista!G9</f>
        <v>Laminado</v>
      </c>
      <c r="BH9" s="83">
        <f>Lista!H9</f>
        <v>0</v>
      </c>
      <c r="BI9" s="83">
        <f>Lista!I9</f>
        <v>0</v>
      </c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</row>
    <row r="10" spans="1:171" s="11" customFormat="1" ht="12.75" customHeight="1" x14ac:dyDescent="0.25">
      <c r="A10" s="17"/>
      <c r="B10" s="17"/>
      <c r="C10" s="13"/>
      <c r="D10" s="13"/>
      <c r="E10" s="18"/>
      <c r="F10"/>
      <c r="G10" s="590"/>
      <c r="H10" s="591"/>
      <c r="I10" s="592"/>
      <c r="J10"/>
      <c r="K10" s="607"/>
      <c r="L10" s="608"/>
      <c r="M10" s="609"/>
      <c r="N10"/>
      <c r="O10" s="560" t="s">
        <v>50</v>
      </c>
      <c r="P10" s="560"/>
      <c r="Q10" s="560"/>
      <c r="R10" s="560"/>
      <c r="S10" s="560"/>
      <c r="T10" s="560"/>
      <c r="U10" s="560"/>
      <c r="V10" s="560"/>
      <c r="W10" s="560"/>
      <c r="X10" s="560"/>
      <c r="Y10" s="560"/>
      <c r="Z10" s="560"/>
      <c r="AA10" s="560"/>
      <c r="AB10" s="560"/>
      <c r="AC10" s="560"/>
      <c r="AD10" s="560"/>
      <c r="AE10" s="560"/>
      <c r="AF10" s="560"/>
      <c r="AG10" s="560"/>
      <c r="AH10" s="560"/>
      <c r="AI10" s="560"/>
      <c r="AJ10" s="560"/>
      <c r="AK10" s="560"/>
      <c r="AL10" s="560"/>
      <c r="AM10" s="560"/>
      <c r="AN10" s="560"/>
      <c r="AO10" s="560"/>
      <c r="AP10" s="560"/>
      <c r="AQ10" s="560"/>
      <c r="AR10" s="560"/>
      <c r="AS10" s="560"/>
      <c r="AT10" s="560"/>
      <c r="AU10" s="560"/>
      <c r="AV10" s="560"/>
      <c r="AW10" s="560"/>
      <c r="BA10" s="83">
        <f>Lista!A10</f>
        <v>0</v>
      </c>
      <c r="BB10" s="83">
        <f>Lista!B10</f>
        <v>0</v>
      </c>
      <c r="BC10" s="83">
        <f>Lista!C10</f>
        <v>0</v>
      </c>
      <c r="BD10" s="83">
        <f>Lista!D10</f>
        <v>0</v>
      </c>
      <c r="BE10" s="83" t="e">
        <f>Lista!#REF!</f>
        <v>#REF!</v>
      </c>
      <c r="BF10" s="83" t="str">
        <f>Lista!E10</f>
        <v>Pintura/Textura</v>
      </c>
      <c r="BG10" s="83" t="str">
        <f>Lista!G10</f>
        <v>Granito/Mármore</v>
      </c>
      <c r="BH10" s="83">
        <f>Lista!H10</f>
        <v>0</v>
      </c>
      <c r="BI10" s="83">
        <f>Lista!I10</f>
        <v>0</v>
      </c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</row>
    <row r="11" spans="1:171" s="11" customFormat="1" x14ac:dyDescent="0.25">
      <c r="A11" s="17"/>
      <c r="B11" s="17"/>
      <c r="C11" s="13"/>
      <c r="D11" s="13"/>
      <c r="E11" s="18"/>
      <c r="F11"/>
      <c r="G11" s="27"/>
      <c r="H11"/>
      <c r="I11"/>
      <c r="J11" s="24"/>
      <c r="K11"/>
      <c r="L11"/>
      <c r="M11"/>
      <c r="N11"/>
      <c r="O11" s="560"/>
      <c r="P11" s="560"/>
      <c r="Q11" s="560"/>
      <c r="R11" s="560"/>
      <c r="S11" s="560"/>
      <c r="T11" s="560"/>
      <c r="U11" s="560"/>
      <c r="V11" s="560"/>
      <c r="W11" s="560"/>
      <c r="X11" s="560"/>
      <c r="Y11" s="560"/>
      <c r="Z11" s="560"/>
      <c r="AA11" s="560"/>
      <c r="AB11" s="560"/>
      <c r="AC11" s="560"/>
      <c r="AD11" s="560"/>
      <c r="AE11" s="560"/>
      <c r="AF11" s="560"/>
      <c r="AG11" s="560"/>
      <c r="AH11" s="560"/>
      <c r="AI11" s="560"/>
      <c r="AJ11" s="560"/>
      <c r="AK11" s="560"/>
      <c r="AL11" s="560"/>
      <c r="AM11" s="560"/>
      <c r="AN11" s="560"/>
      <c r="AO11" s="560"/>
      <c r="AP11" s="560"/>
      <c r="AQ11" s="560"/>
      <c r="AR11" s="560"/>
      <c r="AS11" s="560"/>
      <c r="AT11" s="560"/>
      <c r="AU11" s="560"/>
      <c r="AV11" s="560"/>
      <c r="AW11" s="560"/>
      <c r="BA11" s="83">
        <f>Lista!A11</f>
        <v>0</v>
      </c>
      <c r="BB11" s="83">
        <f>Lista!B11</f>
        <v>0</v>
      </c>
      <c r="BC11" s="83">
        <f>Lista!C11</f>
        <v>0</v>
      </c>
      <c r="BD11" s="83">
        <f>Lista!D11</f>
        <v>0</v>
      </c>
      <c r="BE11" s="83" t="e">
        <f>Lista!#REF!</f>
        <v>#REF!</v>
      </c>
      <c r="BF11" s="83" t="str">
        <f>Lista!E11</f>
        <v>Grafiato</v>
      </c>
      <c r="BG11" s="83" t="str">
        <f>Lista!G11</f>
        <v>Outros</v>
      </c>
      <c r="BH11" s="83">
        <f>Lista!H11</f>
        <v>0</v>
      </c>
      <c r="BI11" s="83">
        <f>Lista!I11</f>
        <v>0</v>
      </c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</row>
    <row r="12" spans="1:171" s="11" customFormat="1" ht="3.9" hidden="1" customHeight="1" x14ac:dyDescent="0.25">
      <c r="A12" s="17"/>
      <c r="B12" s="17"/>
      <c r="C12" s="13"/>
      <c r="D12" s="13"/>
      <c r="E12" s="18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BA12" s="83">
        <f>Lista!A12</f>
        <v>0</v>
      </c>
      <c r="BB12" s="83">
        <f>Lista!B12</f>
        <v>0</v>
      </c>
      <c r="BC12" s="83">
        <f>Lista!C12</f>
        <v>0</v>
      </c>
      <c r="BD12" s="83">
        <f>Lista!D12</f>
        <v>0</v>
      </c>
      <c r="BE12" s="83" t="e">
        <f>Lista!#REF!</f>
        <v>#REF!</v>
      </c>
      <c r="BF12" s="83" t="str">
        <f>Lista!E12</f>
        <v>Cerâmica Extra</v>
      </c>
      <c r="BG12" s="83">
        <f>Lista!G12</f>
        <v>0</v>
      </c>
      <c r="BH12" s="83">
        <f>Lista!H12</f>
        <v>0</v>
      </c>
      <c r="BI12" s="83">
        <f>Lista!I12</f>
        <v>0</v>
      </c>
    </row>
    <row r="13" spans="1:171" s="11" customFormat="1" ht="12.75" hidden="1" customHeight="1" x14ac:dyDescent="0.25">
      <c r="A13" s="17"/>
      <c r="B13" s="17"/>
      <c r="C13" s="13"/>
      <c r="D13" s="13"/>
      <c r="E13" s="18"/>
      <c r="F13"/>
      <c r="G13" s="561"/>
      <c r="H13" s="562"/>
      <c r="I13" s="563"/>
      <c r="J13" s="28" t="s">
        <v>47</v>
      </c>
      <c r="K13" s="561"/>
      <c r="L13" s="562"/>
      <c r="M13" s="563"/>
      <c r="N13"/>
      <c r="O13" s="589"/>
      <c r="P13" s="589"/>
      <c r="Q13" s="589"/>
      <c r="R13" s="589"/>
      <c r="S13" s="589"/>
      <c r="T13" s="589"/>
      <c r="U13" s="589"/>
      <c r="V13" s="589"/>
      <c r="W13" s="589"/>
      <c r="X13" s="589"/>
      <c r="Y13" s="589"/>
      <c r="Z13" s="589"/>
      <c r="AA13" s="589"/>
      <c r="AB13" s="589"/>
      <c r="AC13" s="589"/>
      <c r="AD13" s="589"/>
      <c r="AE13" s="589"/>
      <c r="AF13" s="589"/>
      <c r="AG13" s="589"/>
      <c r="AH13" s="589"/>
      <c r="AI13" s="589"/>
      <c r="AJ13" s="589"/>
      <c r="AK13" s="589"/>
      <c r="AL13" s="589"/>
      <c r="AM13" s="589"/>
      <c r="AN13" s="589"/>
      <c r="AO13" s="589"/>
      <c r="AP13" s="589"/>
      <c r="AQ13" s="589"/>
      <c r="AR13" s="589"/>
      <c r="AS13" s="589"/>
      <c r="AT13" s="589"/>
      <c r="AU13" s="589"/>
      <c r="AV13" s="589"/>
      <c r="AW13" s="589"/>
      <c r="AX13" s="29"/>
      <c r="AY13" s="29"/>
      <c r="AZ13" s="29"/>
      <c r="BA13" s="83">
        <f>Lista!A13</f>
        <v>0</v>
      </c>
      <c r="BB13" s="83">
        <f>Lista!B13</f>
        <v>0</v>
      </c>
      <c r="BC13" s="83">
        <f>Lista!C13</f>
        <v>0</v>
      </c>
      <c r="BD13" s="83">
        <f>Lista!D13</f>
        <v>0</v>
      </c>
      <c r="BE13" s="83" t="e">
        <f>Lista!#REF!</f>
        <v>#REF!</v>
      </c>
      <c r="BF13" s="83" t="str">
        <f>Lista!E13</f>
        <v>Árdosia</v>
      </c>
      <c r="BG13" s="83">
        <f>Lista!G13</f>
        <v>0</v>
      </c>
      <c r="BH13" s="83">
        <f>Lista!H13</f>
        <v>0</v>
      </c>
      <c r="BI13" s="83">
        <f>Lista!I13</f>
        <v>0</v>
      </c>
      <c r="BJ13" s="29"/>
      <c r="BK13" s="29"/>
      <c r="BL13" s="29"/>
      <c r="BM13" s="29"/>
      <c r="BN13" s="29"/>
      <c r="BO13" s="29"/>
      <c r="BP13" s="29"/>
      <c r="BQ13" s="29"/>
      <c r="BR13" s="29"/>
      <c r="BS13" s="29"/>
      <c r="BT13" s="29"/>
      <c r="BU13" s="29"/>
      <c r="BV13" s="29"/>
      <c r="BW13" s="29"/>
      <c r="BX13" s="29"/>
      <c r="BY13" s="29"/>
      <c r="BZ13" s="29"/>
      <c r="CA13" s="29"/>
      <c r="CB13" s="29"/>
      <c r="CC13" s="29"/>
      <c r="CD13" s="29"/>
      <c r="CE13" s="29"/>
      <c r="CF13" s="29"/>
      <c r="CG13" s="29"/>
      <c r="CH13" s="29"/>
      <c r="CI13" s="29"/>
      <c r="CJ13" s="29"/>
      <c r="CK13" s="29"/>
      <c r="CL13" s="29"/>
      <c r="CM13" s="29"/>
      <c r="CN13" s="29"/>
      <c r="CO13" s="29"/>
      <c r="CP13" s="29"/>
      <c r="CQ13" s="29"/>
      <c r="CR13" s="29"/>
      <c r="CS13" s="29"/>
      <c r="CT13" s="29"/>
      <c r="CU13" s="29"/>
      <c r="CV13" s="29"/>
      <c r="CW13" s="29"/>
      <c r="CX13" s="29"/>
      <c r="CY13" s="29"/>
      <c r="CZ13" s="29"/>
      <c r="DA13" s="29"/>
      <c r="DB13" s="29"/>
      <c r="DC13" s="29"/>
      <c r="DD13" s="29"/>
      <c r="DE13" s="29"/>
      <c r="DF13" s="29"/>
      <c r="DG13" s="29"/>
      <c r="DH13" s="29"/>
      <c r="DI13" s="29"/>
      <c r="DJ13" s="29"/>
      <c r="DK13" s="29"/>
      <c r="DL13" s="29"/>
    </row>
    <row r="14" spans="1:171" s="11" customFormat="1" ht="12.75" hidden="1" customHeight="1" x14ac:dyDescent="0.25">
      <c r="A14" s="17"/>
      <c r="B14" s="17"/>
      <c r="C14" s="13"/>
      <c r="D14" s="13"/>
      <c r="E14" s="18"/>
      <c r="F14"/>
      <c r="G14" s="30"/>
      <c r="H14" s="30"/>
      <c r="I14" s="30"/>
      <c r="K14" s="30"/>
      <c r="L14" s="30"/>
      <c r="M14" s="30"/>
      <c r="N14"/>
      <c r="O14" s="589"/>
      <c r="P14" s="589"/>
      <c r="Q14" s="589"/>
      <c r="R14" s="589"/>
      <c r="S14" s="589"/>
      <c r="T14" s="589"/>
      <c r="U14" s="589"/>
      <c r="V14" s="589"/>
      <c r="W14" s="589"/>
      <c r="X14" s="589"/>
      <c r="Y14" s="589"/>
      <c r="Z14" s="589"/>
      <c r="AA14" s="589"/>
      <c r="AB14" s="589"/>
      <c r="AC14" s="589"/>
      <c r="AD14" s="589"/>
      <c r="AE14" s="589"/>
      <c r="AF14" s="589"/>
      <c r="AG14" s="589"/>
      <c r="AH14" s="589"/>
      <c r="AI14" s="589"/>
      <c r="AJ14" s="589"/>
      <c r="AK14" s="589"/>
      <c r="AL14" s="589"/>
      <c r="AM14" s="589"/>
      <c r="AN14" s="589"/>
      <c r="AO14" s="589"/>
      <c r="AP14" s="589"/>
      <c r="AQ14" s="589"/>
      <c r="AR14" s="589"/>
      <c r="AS14" s="589"/>
      <c r="AT14" s="589"/>
      <c r="AU14" s="589"/>
      <c r="AV14" s="589"/>
      <c r="AW14" s="589"/>
      <c r="AX14" s="29"/>
      <c r="AY14" s="29"/>
      <c r="AZ14" s="29"/>
      <c r="BA14" s="83">
        <f>Lista!A14</f>
        <v>0</v>
      </c>
      <c r="BB14" s="83">
        <f>Lista!B14</f>
        <v>0</v>
      </c>
      <c r="BC14" s="83">
        <f>Lista!C14</f>
        <v>0</v>
      </c>
      <c r="BD14" s="83">
        <f>Lista!D14</f>
        <v>0</v>
      </c>
      <c r="BE14" s="83" t="e">
        <f>Lista!#REF!</f>
        <v>#REF!</v>
      </c>
      <c r="BF14" s="83" t="str">
        <f>Lista!E14</f>
        <v>Granito/Mármore 1ª</v>
      </c>
      <c r="BG14" s="83">
        <f>Lista!G14</f>
        <v>0</v>
      </c>
      <c r="BH14" s="83">
        <f>Lista!H14</f>
        <v>0</v>
      </c>
      <c r="BI14" s="83">
        <f>Lista!I14</f>
        <v>0</v>
      </c>
      <c r="BJ14" s="29"/>
      <c r="BK14" s="29"/>
      <c r="BL14" s="29"/>
      <c r="BM14" s="29"/>
      <c r="BN14" s="29"/>
      <c r="BO14" s="29"/>
      <c r="BP14" s="29"/>
      <c r="BQ14" s="29"/>
      <c r="BR14" s="29"/>
      <c r="BS14" s="29"/>
      <c r="BT14" s="29"/>
      <c r="BU14" s="29"/>
      <c r="BV14" s="29"/>
      <c r="BW14" s="29"/>
      <c r="BX14" s="29"/>
      <c r="BY14" s="29"/>
      <c r="BZ14" s="29"/>
      <c r="CA14" s="29"/>
      <c r="CB14" s="29"/>
      <c r="CC14" s="29"/>
      <c r="CD14" s="29"/>
      <c r="CE14" s="29"/>
      <c r="CF14" s="29"/>
      <c r="CG14" s="29"/>
      <c r="CH14" s="29"/>
      <c r="CI14" s="29"/>
      <c r="CJ14" s="29"/>
      <c r="CK14" s="29"/>
      <c r="CL14" s="29"/>
      <c r="CM14" s="29"/>
      <c r="CN14" s="29"/>
      <c r="CO14" s="29"/>
      <c r="CP14" s="29"/>
      <c r="CQ14" s="29"/>
      <c r="CR14" s="29"/>
      <c r="CS14" s="29"/>
      <c r="CT14" s="29"/>
      <c r="CU14" s="29"/>
      <c r="CV14" s="29"/>
      <c r="CW14" s="29"/>
      <c r="CX14" s="29"/>
      <c r="CY14" s="29"/>
      <c r="CZ14" s="29"/>
      <c r="DA14" s="29"/>
      <c r="DB14" s="29"/>
      <c r="DC14" s="29"/>
      <c r="DD14" s="29"/>
      <c r="DE14" s="29"/>
      <c r="DF14" s="29"/>
      <c r="DG14" s="29"/>
      <c r="DH14" s="29"/>
      <c r="DI14" s="29"/>
      <c r="DJ14" s="29"/>
      <c r="DK14" s="29"/>
      <c r="DL14" s="29"/>
    </row>
    <row r="15" spans="1:171" s="11" customFormat="1" ht="12.75" hidden="1" customHeight="1" x14ac:dyDescent="0.25">
      <c r="A15" s="17"/>
      <c r="B15" s="17"/>
      <c r="C15" s="13"/>
      <c r="D15" s="13"/>
      <c r="E15" s="18"/>
      <c r="F15"/>
      <c r="N15"/>
      <c r="O15" s="589"/>
      <c r="P15" s="589"/>
      <c r="Q15" s="589"/>
      <c r="R15" s="589"/>
      <c r="S15" s="589"/>
      <c r="T15" s="589"/>
      <c r="U15" s="589"/>
      <c r="V15" s="589"/>
      <c r="W15" s="589"/>
      <c r="X15" s="589"/>
      <c r="Y15" s="589"/>
      <c r="Z15" s="589"/>
      <c r="AA15" s="589"/>
      <c r="AB15" s="589"/>
      <c r="AC15" s="589"/>
      <c r="AD15" s="589"/>
      <c r="AE15" s="589"/>
      <c r="AF15" s="589"/>
      <c r="AG15" s="589"/>
      <c r="AH15" s="589"/>
      <c r="AI15" s="589"/>
      <c r="AJ15" s="589"/>
      <c r="AK15" s="589"/>
      <c r="AL15" s="589"/>
      <c r="AM15" s="589"/>
      <c r="AN15" s="589"/>
      <c r="AO15" s="589"/>
      <c r="AP15" s="589"/>
      <c r="AQ15" s="589"/>
      <c r="AR15" s="589"/>
      <c r="AS15" s="589"/>
      <c r="AT15" s="589"/>
      <c r="AU15" s="589"/>
      <c r="AV15" s="589"/>
      <c r="AW15" s="589"/>
      <c r="AX15" s="29"/>
      <c r="AY15" s="29"/>
      <c r="AZ15" s="29"/>
      <c r="BA15" s="83">
        <f>Lista!A15</f>
        <v>0</v>
      </c>
      <c r="BB15" s="83">
        <f>Lista!B15</f>
        <v>0</v>
      </c>
      <c r="BC15" s="83">
        <f>Lista!C15</f>
        <v>0</v>
      </c>
      <c r="BD15" s="83">
        <f>Lista!D15</f>
        <v>0</v>
      </c>
      <c r="BE15" s="83" t="e">
        <f>Lista!#REF!</f>
        <v>#REF!</v>
      </c>
      <c r="BF15" s="83" t="str">
        <f>Lista!E15</f>
        <v>Porcelanato 1ª</v>
      </c>
      <c r="BG15" s="83">
        <f>Lista!G15</f>
        <v>0</v>
      </c>
      <c r="BH15" s="83">
        <f>Lista!H15</f>
        <v>0</v>
      </c>
      <c r="BI15" s="83">
        <f>Lista!I15</f>
        <v>0</v>
      </c>
      <c r="BJ15" s="29"/>
      <c r="BK15" s="29"/>
      <c r="BL15" s="29"/>
      <c r="BM15" s="29"/>
      <c r="BN15" s="29"/>
      <c r="BO15" s="29"/>
      <c r="BP15" s="29"/>
      <c r="BQ15" s="29"/>
      <c r="BR15" s="29"/>
      <c r="BS15" s="29"/>
      <c r="BT15" s="29"/>
      <c r="BU15" s="29"/>
      <c r="BV15" s="29"/>
      <c r="BW15" s="29"/>
      <c r="BX15" s="29"/>
      <c r="BY15" s="29"/>
      <c r="BZ15" s="29"/>
      <c r="CA15" s="29"/>
      <c r="CB15" s="29"/>
      <c r="CC15" s="29"/>
      <c r="CD15" s="29"/>
      <c r="CE15" s="29"/>
      <c r="CF15" s="29"/>
      <c r="CG15" s="29"/>
      <c r="CH15" s="29"/>
      <c r="CI15" s="29"/>
      <c r="CJ15" s="29"/>
      <c r="CK15" s="29"/>
      <c r="CL15" s="29"/>
      <c r="CM15" s="29"/>
      <c r="CN15" s="29"/>
      <c r="CO15" s="29"/>
      <c r="CP15" s="29"/>
      <c r="CQ15" s="29"/>
      <c r="CR15" s="29"/>
      <c r="CS15" s="29"/>
      <c r="CT15" s="29"/>
      <c r="CU15" s="29"/>
      <c r="CV15" s="29"/>
      <c r="CW15" s="29"/>
      <c r="CX15" s="29"/>
      <c r="CY15" s="29"/>
      <c r="CZ15" s="29"/>
      <c r="DA15" s="29"/>
      <c r="DB15" s="29"/>
      <c r="DC15" s="29"/>
      <c r="DD15" s="29"/>
      <c r="DE15" s="29"/>
      <c r="DF15" s="29"/>
      <c r="DG15" s="29"/>
      <c r="DH15" s="29"/>
      <c r="DI15" s="29"/>
      <c r="DJ15" s="29"/>
      <c r="DK15" s="29"/>
      <c r="DL15" s="29"/>
    </row>
    <row r="16" spans="1:171" s="11" customFormat="1" hidden="1" x14ac:dyDescent="0.25">
      <c r="A16" s="17"/>
      <c r="B16" s="17"/>
      <c r="C16" s="13"/>
      <c r="D16" s="13"/>
      <c r="E16" s="18"/>
      <c r="F16"/>
      <c r="G16"/>
      <c r="H16"/>
      <c r="I16"/>
      <c r="J16"/>
      <c r="K16"/>
      <c r="L16"/>
      <c r="M16"/>
      <c r="N16"/>
      <c r="O16" s="589"/>
      <c r="P16" s="589"/>
      <c r="Q16" s="589"/>
      <c r="R16" s="589"/>
      <c r="S16" s="589"/>
      <c r="T16" s="589"/>
      <c r="U16" s="589"/>
      <c r="V16" s="589"/>
      <c r="W16" s="589"/>
      <c r="X16" s="589"/>
      <c r="Y16" s="589"/>
      <c r="Z16" s="589"/>
      <c r="AA16" s="589"/>
      <c r="AB16" s="589"/>
      <c r="AC16" s="589"/>
      <c r="AD16" s="589"/>
      <c r="AE16" s="589"/>
      <c r="AF16" s="589"/>
      <c r="AG16" s="589"/>
      <c r="AH16" s="589"/>
      <c r="AI16" s="589"/>
      <c r="AJ16" s="589"/>
      <c r="AK16" s="589"/>
      <c r="AL16" s="589"/>
      <c r="AM16" s="589"/>
      <c r="AN16" s="589"/>
      <c r="AO16" s="589"/>
      <c r="AP16" s="589"/>
      <c r="AQ16" s="589"/>
      <c r="AR16" s="589"/>
      <c r="AS16" s="589"/>
      <c r="AT16" s="589"/>
      <c r="AU16" s="589"/>
      <c r="AV16" s="589"/>
      <c r="AW16" s="589"/>
      <c r="AX16" s="29"/>
      <c r="AY16" s="29"/>
      <c r="AZ16" s="29"/>
      <c r="BA16" s="83">
        <f>Lista!A16</f>
        <v>0</v>
      </c>
      <c r="BB16" s="83">
        <f>Lista!B16</f>
        <v>0</v>
      </c>
      <c r="BC16" s="83">
        <f>Lista!C16</f>
        <v>0</v>
      </c>
      <c r="BD16" s="83">
        <f>Lista!D16</f>
        <v>0</v>
      </c>
      <c r="BE16" s="83" t="e">
        <f>Lista!#REF!</f>
        <v>#REF!</v>
      </c>
      <c r="BF16" s="83" t="str">
        <f>Lista!E16</f>
        <v>Outros</v>
      </c>
      <c r="BG16" s="83">
        <f>Lista!G16</f>
        <v>0</v>
      </c>
      <c r="BH16" s="83">
        <f>Lista!H16</f>
        <v>0</v>
      </c>
      <c r="BI16" s="83">
        <f>Lista!I16</f>
        <v>0</v>
      </c>
      <c r="BJ16" s="29"/>
      <c r="BK16" s="29"/>
      <c r="BL16" s="29"/>
      <c r="BM16" s="29"/>
      <c r="BN16" s="29"/>
      <c r="BO16" s="29"/>
      <c r="BP16" s="29"/>
      <c r="BQ16" s="29"/>
      <c r="BR16" s="29"/>
      <c r="BS16" s="29"/>
      <c r="BT16" s="29"/>
      <c r="BU16" s="29"/>
      <c r="BV16" s="29"/>
      <c r="BW16" s="29"/>
      <c r="BX16" s="29"/>
      <c r="BY16" s="29"/>
      <c r="BZ16" s="29"/>
      <c r="CA16" s="29"/>
      <c r="CB16" s="29"/>
      <c r="CC16" s="29"/>
      <c r="CD16" s="29"/>
      <c r="CE16" s="29"/>
      <c r="CF16" s="29"/>
      <c r="CG16" s="29"/>
      <c r="CH16" s="29"/>
      <c r="CI16" s="29"/>
      <c r="CJ16" s="29"/>
      <c r="CK16" s="29"/>
      <c r="CL16" s="29"/>
      <c r="CM16" s="29"/>
      <c r="CN16" s="29"/>
      <c r="CO16" s="29"/>
      <c r="CP16" s="29"/>
      <c r="CQ16" s="29"/>
      <c r="CR16" s="29"/>
      <c r="CS16" s="29"/>
    </row>
    <row r="17" spans="1:131" s="11" customFormat="1" ht="3.9" hidden="1" customHeight="1" x14ac:dyDescent="0.25">
      <c r="A17" s="17"/>
      <c r="B17" s="17"/>
      <c r="C17" s="13"/>
      <c r="D17" s="13"/>
      <c r="E17" s="18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BA17" s="83">
        <f>Lista!A17</f>
        <v>0</v>
      </c>
      <c r="BB17" s="83">
        <f>Lista!B17</f>
        <v>0</v>
      </c>
      <c r="BC17" s="83">
        <f>Lista!C17</f>
        <v>0</v>
      </c>
      <c r="BD17" s="83">
        <f>Lista!D17</f>
        <v>0</v>
      </c>
      <c r="BE17" s="83" t="e">
        <f>Lista!#REF!</f>
        <v>#REF!</v>
      </c>
      <c r="BF17" s="83">
        <f>Lista!F17</f>
        <v>0</v>
      </c>
      <c r="BG17" s="83">
        <f>Lista!G17</f>
        <v>0</v>
      </c>
      <c r="BH17" s="83">
        <f>Lista!H17</f>
        <v>0</v>
      </c>
      <c r="BI17" s="83">
        <f>Lista!I17</f>
        <v>0</v>
      </c>
    </row>
    <row r="18" spans="1:131" s="11" customFormat="1" ht="27.9" customHeight="1" x14ac:dyDescent="0.25">
      <c r="A18" s="17"/>
      <c r="B18" s="17"/>
      <c r="C18" s="13"/>
      <c r="D18" s="13"/>
      <c r="E18" s="18"/>
      <c r="F18"/>
      <c r="G18" s="603" t="s">
        <v>51</v>
      </c>
      <c r="H18" s="604"/>
      <c r="I18" s="604"/>
      <c r="J18" s="604"/>
      <c r="K18" s="604"/>
      <c r="L18" s="604"/>
      <c r="M18" s="604"/>
      <c r="N18" s="604"/>
      <c r="O18" s="604"/>
      <c r="P18" s="604"/>
      <c r="Q18" s="604"/>
      <c r="R18" s="604"/>
      <c r="S18" s="604"/>
      <c r="T18" s="604"/>
      <c r="U18" s="604"/>
      <c r="V18" s="604"/>
      <c r="W18" s="604"/>
      <c r="X18" s="604"/>
      <c r="Y18" s="604"/>
      <c r="Z18" s="604"/>
      <c r="AA18" s="604"/>
      <c r="AB18" s="604"/>
      <c r="AC18" s="604"/>
      <c r="AD18" s="604"/>
      <c r="AE18" s="604"/>
      <c r="AF18" s="604"/>
      <c r="AG18" s="604"/>
      <c r="AH18" s="604"/>
      <c r="AI18" s="604"/>
      <c r="AJ18" s="604"/>
      <c r="AK18" s="604"/>
      <c r="AL18" s="604"/>
      <c r="AM18" s="604"/>
      <c r="AN18" s="604"/>
      <c r="AO18" s="604"/>
      <c r="AP18" s="604"/>
      <c r="AQ18" s="604"/>
      <c r="AR18" s="604"/>
      <c r="AS18" s="604"/>
      <c r="AT18" s="604"/>
      <c r="AU18" s="604"/>
      <c r="AV18" s="604"/>
      <c r="AW18" s="605"/>
      <c r="BA18" s="83">
        <f>Lista!A18</f>
        <v>0</v>
      </c>
      <c r="BB18" s="83">
        <f>Lista!B18</f>
        <v>0</v>
      </c>
      <c r="BC18" s="83">
        <f>Lista!C18</f>
        <v>0</v>
      </c>
      <c r="BD18" s="83">
        <f>Lista!D18</f>
        <v>0</v>
      </c>
      <c r="BE18" s="83" t="e">
        <f>Lista!#REF!</f>
        <v>#REF!</v>
      </c>
      <c r="BF18" s="83">
        <f>Lista!F18</f>
        <v>0</v>
      </c>
      <c r="BG18" s="83">
        <f>Lista!G18</f>
        <v>0</v>
      </c>
      <c r="BH18" s="83">
        <f>Lista!H18</f>
        <v>0</v>
      </c>
      <c r="BI18" s="83">
        <f>Lista!I18</f>
        <v>0</v>
      </c>
    </row>
    <row r="19" spans="1:131" s="11" customFormat="1" ht="3.9" customHeight="1" x14ac:dyDescent="0.25">
      <c r="A19" s="17"/>
      <c r="B19" s="17"/>
      <c r="C19" s="13"/>
      <c r="D19" s="13"/>
      <c r="E19" s="18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BA19" s="84"/>
      <c r="BB19" s="84"/>
      <c r="BC19" s="85"/>
      <c r="BD19" s="85"/>
      <c r="BE19" s="85"/>
      <c r="BF19" s="85"/>
      <c r="BG19" s="85"/>
      <c r="BH19" s="85"/>
      <c r="BI19" s="85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</row>
    <row r="20" spans="1:131" s="11" customFormat="1" ht="12.75" customHeight="1" x14ac:dyDescent="0.25">
      <c r="A20" s="17"/>
      <c r="B20" s="17"/>
      <c r="C20" s="13"/>
      <c r="D20" s="13"/>
      <c r="E20" s="18"/>
      <c r="F20"/>
      <c r="G20" s="606" t="s">
        <v>468</v>
      </c>
      <c r="H20" s="606"/>
      <c r="I20" s="606"/>
      <c r="J20" s="606"/>
      <c r="K20" s="606"/>
      <c r="L20" s="606"/>
      <c r="M20" s="606"/>
      <c r="N20" s="606"/>
      <c r="O20" s="606"/>
      <c r="P20" s="606"/>
      <c r="Q20" s="606"/>
      <c r="R20" s="606"/>
      <c r="S20" s="606"/>
      <c r="T20" s="606"/>
      <c r="U20" s="606"/>
      <c r="V20" s="606"/>
      <c r="W20" s="606"/>
      <c r="X20" s="606"/>
      <c r="Y20" s="606"/>
      <c r="Z20" s="606"/>
      <c r="AA20" s="606"/>
      <c r="AB20" s="606"/>
      <c r="AC20" s="606"/>
      <c r="AD20" s="606"/>
      <c r="AE20" s="606"/>
      <c r="AF20" s="606"/>
      <c r="AG20" s="606"/>
      <c r="AH20" s="606"/>
      <c r="AI20" s="606"/>
      <c r="AJ20" s="606"/>
      <c r="AK20" s="606"/>
      <c r="AL20" s="606"/>
      <c r="AM20" s="606"/>
      <c r="AN20" s="606"/>
      <c r="AO20" s="606"/>
      <c r="AP20" s="606"/>
      <c r="AQ20" s="606"/>
      <c r="AR20" s="606"/>
      <c r="AS20" s="606"/>
      <c r="AT20" s="606"/>
      <c r="AU20" s="606"/>
      <c r="AV20" s="606"/>
      <c r="AW20" s="606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</row>
    <row r="21" spans="1:131" s="11" customFormat="1" ht="3.9" customHeight="1" x14ac:dyDescent="0.25">
      <c r="A21" s="17"/>
      <c r="B21" s="17"/>
      <c r="C21" s="13"/>
      <c r="D21" s="13"/>
      <c r="E21" s="18"/>
      <c r="F21"/>
      <c r="G21" s="12"/>
      <c r="H21" s="12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</row>
    <row r="22" spans="1:131" customFormat="1" ht="12" customHeight="1" x14ac:dyDescent="0.25">
      <c r="A22" s="31"/>
      <c r="G22" s="564">
        <v>1</v>
      </c>
      <c r="H22" s="565"/>
      <c r="I22" s="566"/>
      <c r="K22" s="570" t="s">
        <v>2</v>
      </c>
      <c r="L22" s="587"/>
      <c r="M22" s="587"/>
      <c r="N22" s="587"/>
      <c r="O22" s="587"/>
      <c r="P22" s="587"/>
      <c r="Q22" s="587"/>
      <c r="R22" s="587"/>
      <c r="S22" s="587"/>
      <c r="T22" s="587"/>
      <c r="U22" s="587"/>
      <c r="V22" s="587"/>
      <c r="W22" s="587"/>
      <c r="X22" s="587"/>
      <c r="Y22" s="587"/>
      <c r="Z22" s="587"/>
      <c r="AA22" s="587"/>
      <c r="AB22" s="587"/>
      <c r="AC22" s="587"/>
      <c r="AD22" s="587"/>
      <c r="AE22" s="587"/>
      <c r="AF22" s="587"/>
      <c r="AG22" s="587"/>
      <c r="AH22" s="587"/>
      <c r="AI22" s="587"/>
      <c r="AJ22" s="587"/>
      <c r="AK22" s="587"/>
      <c r="AL22" s="587"/>
      <c r="AM22" s="587"/>
      <c r="AN22" s="587"/>
      <c r="AO22" s="587"/>
      <c r="AP22" s="587"/>
      <c r="AQ22" s="587"/>
      <c r="AR22" s="587"/>
      <c r="AS22" s="587"/>
      <c r="AT22" s="587"/>
      <c r="AU22" s="587"/>
      <c r="AV22" s="587"/>
      <c r="AW22" s="588"/>
    </row>
    <row r="23" spans="1:131" customFormat="1" ht="3.9" customHeight="1" x14ac:dyDescent="0.25">
      <c r="A23" s="31"/>
      <c r="G23" s="25"/>
      <c r="H23" s="25"/>
      <c r="I23" s="26"/>
    </row>
    <row r="24" spans="1:131" customFormat="1" ht="43.2" customHeight="1" x14ac:dyDescent="0.25">
      <c r="A24" s="31"/>
      <c r="E24" s="32"/>
      <c r="G24" s="564" t="s">
        <v>1</v>
      </c>
      <c r="H24" s="565"/>
      <c r="I24" s="566"/>
      <c r="K24" s="567" t="s">
        <v>486</v>
      </c>
      <c r="L24" s="568"/>
      <c r="M24" s="568"/>
      <c r="N24" s="568"/>
      <c r="O24" s="568"/>
      <c r="P24" s="568"/>
      <c r="Q24" s="568"/>
      <c r="R24" s="568"/>
      <c r="S24" s="568"/>
      <c r="T24" s="568"/>
      <c r="U24" s="568"/>
      <c r="V24" s="568"/>
      <c r="W24" s="568"/>
      <c r="X24" s="568"/>
      <c r="Y24" s="568"/>
      <c r="Z24" s="568"/>
      <c r="AA24" s="568"/>
      <c r="AB24" s="568"/>
      <c r="AC24" s="568"/>
      <c r="AD24" s="568"/>
      <c r="AE24" s="568"/>
      <c r="AF24" s="568"/>
      <c r="AG24" s="568"/>
      <c r="AH24" s="568"/>
      <c r="AI24" s="568"/>
      <c r="AJ24" s="568"/>
      <c r="AK24" s="568"/>
      <c r="AL24" s="568"/>
      <c r="AM24" s="568"/>
      <c r="AN24" s="568"/>
      <c r="AO24" s="568"/>
      <c r="AP24" s="568"/>
      <c r="AQ24" s="568"/>
      <c r="AR24" s="568"/>
      <c r="AS24" s="568"/>
      <c r="AT24" s="568"/>
      <c r="AU24" s="568"/>
      <c r="AV24" s="568"/>
      <c r="AW24" s="569"/>
    </row>
    <row r="25" spans="1:131" customFormat="1" ht="17.399999999999999" customHeight="1" x14ac:dyDescent="0.25">
      <c r="A25" s="31"/>
      <c r="E25" s="32"/>
      <c r="G25" s="564" t="s">
        <v>40</v>
      </c>
      <c r="H25" s="565"/>
      <c r="I25" s="566"/>
      <c r="K25" s="567" t="s">
        <v>52</v>
      </c>
      <c r="L25" s="568"/>
      <c r="M25" s="568"/>
      <c r="N25" s="568"/>
      <c r="O25" s="568"/>
      <c r="P25" s="568"/>
      <c r="Q25" s="568"/>
      <c r="R25" s="568"/>
      <c r="S25" s="568"/>
      <c r="T25" s="568"/>
      <c r="U25" s="568"/>
      <c r="V25" s="568"/>
      <c r="W25" s="568"/>
      <c r="X25" s="568"/>
      <c r="Y25" s="568"/>
      <c r="Z25" s="568"/>
      <c r="AA25" s="568"/>
      <c r="AB25" s="568"/>
      <c r="AC25" s="568"/>
      <c r="AD25" s="568"/>
      <c r="AE25" s="568"/>
      <c r="AF25" s="568"/>
      <c r="AG25" s="568"/>
      <c r="AH25" s="568"/>
      <c r="AI25" s="568"/>
      <c r="AJ25" s="568"/>
      <c r="AK25" s="568"/>
      <c r="AL25" s="568"/>
      <c r="AM25" s="568"/>
      <c r="AN25" s="568"/>
      <c r="AO25" s="568"/>
      <c r="AP25" s="568"/>
      <c r="AQ25" s="568"/>
      <c r="AR25" s="568"/>
      <c r="AS25" s="568"/>
      <c r="AT25" s="568"/>
      <c r="AU25" s="568"/>
      <c r="AV25" s="568"/>
      <c r="AW25" s="569"/>
    </row>
    <row r="26" spans="1:131" s="11" customFormat="1" ht="39" customHeight="1" x14ac:dyDescent="0.25">
      <c r="A26" s="17"/>
      <c r="B26" s="17"/>
      <c r="C26" s="13"/>
      <c r="D26" s="13"/>
      <c r="E26" s="18"/>
      <c r="F26"/>
      <c r="G26" s="564" t="s">
        <v>41</v>
      </c>
      <c r="H26" s="565"/>
      <c r="I26" s="566"/>
      <c r="J26" s="32"/>
      <c r="K26" s="567" t="s">
        <v>487</v>
      </c>
      <c r="L26" s="568"/>
      <c r="M26" s="568"/>
      <c r="N26" s="568"/>
      <c r="O26" s="568"/>
      <c r="P26" s="568"/>
      <c r="Q26" s="568"/>
      <c r="R26" s="568"/>
      <c r="S26" s="568"/>
      <c r="T26" s="568"/>
      <c r="U26" s="568"/>
      <c r="V26" s="568"/>
      <c r="W26" s="568"/>
      <c r="X26" s="568"/>
      <c r="Y26" s="568"/>
      <c r="Z26" s="568"/>
      <c r="AA26" s="568"/>
      <c r="AB26" s="568"/>
      <c r="AC26" s="568"/>
      <c r="AD26" s="568"/>
      <c r="AE26" s="568"/>
      <c r="AF26" s="568"/>
      <c r="AG26" s="568"/>
      <c r="AH26" s="568"/>
      <c r="AI26" s="568"/>
      <c r="AJ26" s="568"/>
      <c r="AK26" s="568"/>
      <c r="AL26" s="568"/>
      <c r="AM26" s="568"/>
      <c r="AN26" s="568"/>
      <c r="AO26" s="568"/>
      <c r="AP26" s="568"/>
      <c r="AQ26" s="568"/>
      <c r="AR26" s="568"/>
      <c r="AS26" s="568"/>
      <c r="AT26" s="568"/>
      <c r="AU26" s="568"/>
      <c r="AV26" s="568"/>
      <c r="AW26" s="569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</row>
    <row r="27" spans="1:131" ht="29.4" customHeight="1" x14ac:dyDescent="0.25">
      <c r="A27" s="31"/>
      <c r="B27"/>
      <c r="C27"/>
      <c r="D27"/>
      <c r="E27" s="32"/>
      <c r="F27"/>
      <c r="G27" s="564" t="s">
        <v>44</v>
      </c>
      <c r="H27" s="565"/>
      <c r="I27" s="566"/>
      <c r="J27"/>
      <c r="K27" s="567" t="s">
        <v>466</v>
      </c>
      <c r="L27" s="568"/>
      <c r="M27" s="568"/>
      <c r="N27" s="568"/>
      <c r="O27" s="568"/>
      <c r="P27" s="568"/>
      <c r="Q27" s="568"/>
      <c r="R27" s="568"/>
      <c r="S27" s="568"/>
      <c r="T27" s="568"/>
      <c r="U27" s="568"/>
      <c r="V27" s="568"/>
      <c r="W27" s="568"/>
      <c r="X27" s="568"/>
      <c r="Y27" s="568"/>
      <c r="Z27" s="568"/>
      <c r="AA27" s="568"/>
      <c r="AB27" s="568"/>
      <c r="AC27" s="568"/>
      <c r="AD27" s="568"/>
      <c r="AE27" s="568"/>
      <c r="AF27" s="568"/>
      <c r="AG27" s="568"/>
      <c r="AH27" s="568"/>
      <c r="AI27" s="568"/>
      <c r="AJ27" s="568"/>
      <c r="AK27" s="568"/>
      <c r="AL27" s="568"/>
      <c r="AM27" s="568"/>
      <c r="AN27" s="568"/>
      <c r="AO27" s="568"/>
      <c r="AP27" s="568"/>
      <c r="AQ27" s="568"/>
      <c r="AR27" s="568"/>
      <c r="AS27" s="568"/>
      <c r="AT27" s="568"/>
      <c r="AU27" s="568"/>
      <c r="AV27" s="568"/>
      <c r="AW27" s="569"/>
      <c r="AX27"/>
      <c r="AY27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12"/>
      <c r="DX27" s="12"/>
      <c r="DY27" s="12"/>
      <c r="DZ27" s="12"/>
      <c r="EA27" s="12"/>
    </row>
    <row r="28" spans="1:131" ht="15.6" customHeight="1" x14ac:dyDescent="0.25">
      <c r="A28" s="31"/>
      <c r="B28"/>
      <c r="C28"/>
      <c r="D28"/>
      <c r="E28" s="32"/>
      <c r="F28"/>
      <c r="G28" s="564" t="s">
        <v>45</v>
      </c>
      <c r="H28" s="565"/>
      <c r="I28" s="566"/>
      <c r="J28"/>
      <c r="K28" s="567" t="s">
        <v>54</v>
      </c>
      <c r="L28" s="568"/>
      <c r="M28" s="568"/>
      <c r="N28" s="568"/>
      <c r="O28" s="568"/>
      <c r="P28" s="568"/>
      <c r="Q28" s="568"/>
      <c r="R28" s="568"/>
      <c r="S28" s="568"/>
      <c r="T28" s="568"/>
      <c r="U28" s="568"/>
      <c r="V28" s="568"/>
      <c r="W28" s="568"/>
      <c r="X28" s="568"/>
      <c r="Y28" s="568"/>
      <c r="Z28" s="568"/>
      <c r="AA28" s="568"/>
      <c r="AB28" s="568"/>
      <c r="AC28" s="568"/>
      <c r="AD28" s="568"/>
      <c r="AE28" s="568"/>
      <c r="AF28" s="568"/>
      <c r="AG28" s="568"/>
      <c r="AH28" s="568"/>
      <c r="AI28" s="568"/>
      <c r="AJ28" s="568"/>
      <c r="AK28" s="568"/>
      <c r="AL28" s="568"/>
      <c r="AM28" s="568"/>
      <c r="AN28" s="568"/>
      <c r="AO28" s="568"/>
      <c r="AP28" s="568"/>
      <c r="AQ28" s="568"/>
      <c r="AR28" s="568"/>
      <c r="AS28" s="568"/>
      <c r="AT28" s="568"/>
      <c r="AU28" s="568"/>
      <c r="AV28" s="568"/>
      <c r="AW28" s="569"/>
      <c r="AX28"/>
      <c r="AY28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12"/>
      <c r="DX28" s="12"/>
      <c r="DY28" s="12"/>
      <c r="DZ28" s="12"/>
      <c r="EA28" s="12"/>
    </row>
    <row r="29" spans="1:131" customFormat="1" ht="12" hidden="1" customHeight="1" x14ac:dyDescent="0.25">
      <c r="A29" s="31"/>
      <c r="E29" s="32"/>
      <c r="G29" s="564" t="s">
        <v>53</v>
      </c>
      <c r="H29" s="565"/>
      <c r="I29" s="566"/>
      <c r="K29" s="567" t="s">
        <v>54</v>
      </c>
      <c r="L29" s="568"/>
      <c r="M29" s="568"/>
      <c r="N29" s="568"/>
      <c r="O29" s="568"/>
      <c r="P29" s="568"/>
      <c r="Q29" s="568"/>
      <c r="R29" s="568"/>
      <c r="S29" s="568"/>
      <c r="T29" s="568"/>
      <c r="U29" s="568"/>
      <c r="V29" s="568"/>
      <c r="W29" s="568"/>
      <c r="X29" s="568"/>
      <c r="Y29" s="568"/>
      <c r="Z29" s="568"/>
      <c r="AA29" s="568"/>
      <c r="AB29" s="568"/>
      <c r="AC29" s="568"/>
      <c r="AD29" s="568"/>
      <c r="AE29" s="568"/>
      <c r="AF29" s="568"/>
      <c r="AG29" s="568"/>
      <c r="AH29" s="568"/>
      <c r="AI29" s="568"/>
      <c r="AJ29" s="568"/>
      <c r="AK29" s="568"/>
      <c r="AL29" s="568"/>
      <c r="AM29" s="568"/>
      <c r="AN29" s="568"/>
      <c r="AO29" s="568"/>
      <c r="AP29" s="568"/>
      <c r="AQ29" s="568"/>
      <c r="AR29" s="568"/>
      <c r="AS29" s="568"/>
      <c r="AT29" s="568"/>
      <c r="AU29" s="568"/>
      <c r="AV29" s="568"/>
      <c r="AW29" s="569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</row>
    <row r="30" spans="1:131" s="11" customFormat="1" ht="3.9" customHeight="1" x14ac:dyDescent="0.25">
      <c r="A30" s="17"/>
      <c r="B30" s="17"/>
      <c r="C30" s="13"/>
      <c r="D30" s="13"/>
      <c r="E30" s="18"/>
      <c r="F30"/>
      <c r="G30" s="12"/>
      <c r="H30" s="12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 s="63"/>
      <c r="BB30" s="63"/>
      <c r="BC30" s="63"/>
      <c r="BD30" s="63"/>
      <c r="BE30" s="63"/>
      <c r="BF30" s="63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63"/>
      <c r="BS30" s="63"/>
      <c r="BT30" s="63"/>
      <c r="BU30" s="63"/>
      <c r="BV30" s="63"/>
      <c r="BW30" s="63"/>
      <c r="BX30" s="63"/>
      <c r="BY30" s="63"/>
      <c r="BZ30" s="63"/>
      <c r="CA30" s="63"/>
      <c r="CB30" s="63"/>
      <c r="CC30" s="63"/>
      <c r="CD30" s="63"/>
      <c r="CE30" s="63"/>
      <c r="CF30" s="63"/>
      <c r="CG30" s="63"/>
      <c r="CH30" s="63"/>
      <c r="CI30" s="63"/>
      <c r="CJ30" s="63"/>
      <c r="CK30" s="63"/>
      <c r="CL30" s="63"/>
      <c r="CM30" s="63"/>
      <c r="CN30" s="63"/>
      <c r="CO30" s="63"/>
      <c r="CP30" s="63"/>
      <c r="CQ30" s="63"/>
      <c r="CR30" s="63"/>
      <c r="CS30" s="63"/>
      <c r="CT30" s="63"/>
      <c r="CU30" s="63"/>
      <c r="CV30" s="63"/>
      <c r="CW30" s="63"/>
      <c r="CX30" s="63"/>
      <c r="CY30" s="63"/>
      <c r="CZ30" s="63"/>
      <c r="DA30" s="63"/>
      <c r="DB30" s="63"/>
      <c r="DC30" s="63"/>
      <c r="DD30" s="63"/>
      <c r="DE30" s="63"/>
      <c r="DF30" s="63"/>
      <c r="DG30" s="63"/>
      <c r="DH30" s="63"/>
      <c r="DI30" s="63"/>
    </row>
    <row r="31" spans="1:131" ht="3.9" customHeight="1" x14ac:dyDescent="0.25">
      <c r="A31" s="8" t="e">
        <f>MATCH("mtde",E:E,0)</f>
        <v>#N/A</v>
      </c>
      <c r="B31" s="8">
        <f>MATCH("endfim2",E:E,0)</f>
        <v>54</v>
      </c>
      <c r="E31" s="33"/>
      <c r="G31" s="34"/>
      <c r="H31" s="35"/>
      <c r="J31" s="35"/>
      <c r="K31" s="35"/>
      <c r="L31" s="35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5"/>
      <c r="AC31" s="35"/>
      <c r="AD31" s="35"/>
      <c r="AE31" s="35"/>
      <c r="AF31" s="35"/>
      <c r="AG31" s="35"/>
      <c r="AH31" s="35"/>
      <c r="AI31" s="36"/>
      <c r="AJ31" s="15"/>
    </row>
    <row r="32" spans="1:131" ht="9.9" customHeight="1" x14ac:dyDescent="0.25">
      <c r="A32" s="7" t="s">
        <v>3</v>
      </c>
      <c r="B32" s="8" t="s">
        <v>4</v>
      </c>
      <c r="C32" s="7" t="s">
        <v>5</v>
      </c>
      <c r="D32" s="7" t="s">
        <v>6</v>
      </c>
      <c r="E32" s="9" t="s">
        <v>7</v>
      </c>
      <c r="F32" s="37"/>
      <c r="G32" s="37"/>
      <c r="H32" s="37"/>
      <c r="I32" s="37"/>
      <c r="J32" s="37"/>
      <c r="K32" s="37"/>
      <c r="L32" s="37"/>
      <c r="M32" s="37"/>
      <c r="N32" s="37"/>
      <c r="O32" s="37"/>
      <c r="P32" s="37"/>
      <c r="Q32" s="37"/>
      <c r="R32" s="37"/>
      <c r="S32" s="739" t="s">
        <v>56</v>
      </c>
      <c r="T32" s="740"/>
      <c r="U32" s="212" t="s">
        <v>57</v>
      </c>
      <c r="V32" s="213"/>
      <c r="W32" s="213"/>
      <c r="X32" s="213"/>
      <c r="Y32" s="213"/>
      <c r="Z32" s="741"/>
      <c r="AA32" s="37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610" t="s">
        <v>8</v>
      </c>
      <c r="AQ32" s="611"/>
      <c r="AR32" s="611"/>
      <c r="AS32" s="611"/>
      <c r="AT32" s="611"/>
      <c r="AU32" s="611"/>
      <c r="AV32" s="611"/>
      <c r="AW32" s="612"/>
      <c r="AX32" s="43"/>
    </row>
    <row r="33" spans="2:137" ht="9.9" customHeight="1" x14ac:dyDescent="0.25">
      <c r="B33" s="8" t="e">
        <f>MATCH(MAX(C35:C86),C35:C86,0)+5</f>
        <v>#N/A</v>
      </c>
      <c r="C33" s="8" t="e">
        <f>MATCH("D",D35:D86,0)+5</f>
        <v>#N/A</v>
      </c>
      <c r="D33" s="8" t="e">
        <f>MAX(C35:C0)</f>
        <v>#NAME?</v>
      </c>
      <c r="E33" s="38"/>
      <c r="F33" s="39"/>
      <c r="G33" s="39"/>
      <c r="H33" s="39"/>
      <c r="I33" s="39"/>
      <c r="J33" s="39"/>
      <c r="K33" s="39"/>
      <c r="L33" s="39"/>
      <c r="M33" s="39"/>
      <c r="N33" s="39"/>
      <c r="O33" s="39"/>
      <c r="P33" s="39"/>
      <c r="Q33" s="39"/>
      <c r="R33" s="39"/>
      <c r="S33" s="736"/>
      <c r="T33" s="737"/>
      <c r="U33" s="737"/>
      <c r="V33" s="737"/>
      <c r="W33" s="737"/>
      <c r="X33" s="737"/>
      <c r="Y33" s="737"/>
      <c r="Z33" s="738"/>
      <c r="AA33" s="39"/>
      <c r="AB33" s="40"/>
      <c r="AC33" s="40"/>
      <c r="AD33" s="40"/>
      <c r="AE33" s="40"/>
      <c r="AF33" s="40"/>
      <c r="AG33" s="40"/>
      <c r="AH33" s="40"/>
      <c r="AI33" s="40"/>
      <c r="AJ33" s="40"/>
      <c r="AK33" s="40"/>
      <c r="AL33" s="40"/>
      <c r="AM33" s="40"/>
      <c r="AN33" s="40"/>
      <c r="AO33" s="40"/>
      <c r="AP33" s="614" t="str">
        <f>IF(P_Ini="","#PÚBLICO","#EXTERNO.CONFIDENCIAL")</f>
        <v>#PÚBLICO</v>
      </c>
      <c r="AQ33" s="615"/>
      <c r="AR33" s="615"/>
      <c r="AS33" s="615"/>
      <c r="AT33" s="615"/>
      <c r="AU33" s="615"/>
      <c r="AV33" s="615"/>
      <c r="AW33" s="616"/>
      <c r="AX33" s="45"/>
      <c r="BJ33" s="559"/>
      <c r="BK33" s="559"/>
      <c r="BL33" s="559"/>
      <c r="BM33" s="559"/>
      <c r="BN33" s="559"/>
      <c r="BO33" s="559"/>
    </row>
    <row r="34" spans="2:137" ht="3.9" customHeight="1" x14ac:dyDescent="0.25"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36"/>
      <c r="T34" s="36"/>
      <c r="U34" s="36"/>
      <c r="V34" s="36"/>
      <c r="W34" s="36"/>
      <c r="X34" s="36"/>
      <c r="Y34" s="36"/>
      <c r="Z34" s="36"/>
      <c r="AA34" s="36"/>
      <c r="AB34" s="89"/>
      <c r="AC34" s="89"/>
      <c r="AD34" s="89"/>
      <c r="AE34" s="89"/>
      <c r="AF34" s="89"/>
      <c r="AG34" s="89"/>
      <c r="AH34" s="89"/>
      <c r="AI34" s="89"/>
      <c r="AJ34" s="90"/>
      <c r="AK34" s="91"/>
      <c r="AL34" s="91"/>
      <c r="AM34" s="91"/>
      <c r="AN34" s="91"/>
      <c r="BJ34" s="559"/>
      <c r="BK34" s="559"/>
      <c r="BL34" s="559"/>
      <c r="BM34" s="559"/>
      <c r="BN34" s="559"/>
      <c r="BO34" s="559"/>
    </row>
    <row r="35" spans="2:137" ht="12" customHeight="1" x14ac:dyDescent="0.25"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613" t="s">
        <v>281</v>
      </c>
      <c r="V35" s="613"/>
      <c r="W35" s="613"/>
      <c r="X35" s="613"/>
      <c r="Y35" s="613"/>
      <c r="Z35" s="613"/>
      <c r="AA35" s="613"/>
      <c r="AB35" s="613"/>
      <c r="AC35" s="613"/>
      <c r="AD35" s="613"/>
      <c r="AE35" s="613"/>
      <c r="AF35" s="613"/>
      <c r="AG35" s="613"/>
      <c r="AH35" s="613"/>
      <c r="AI35" s="613"/>
      <c r="AJ35" s="613"/>
      <c r="AK35" s="613"/>
      <c r="AL35" s="613"/>
      <c r="AM35" s="613"/>
      <c r="AN35" s="613"/>
      <c r="AO35" s="613"/>
      <c r="AP35" s="613"/>
      <c r="AQ35" s="613"/>
      <c r="AR35" s="613"/>
      <c r="AS35" s="613"/>
      <c r="AT35" s="613"/>
      <c r="AU35" s="613"/>
      <c r="AV35" s="613"/>
      <c r="AW35" s="43"/>
      <c r="AX35" s="43"/>
      <c r="BA35" s="82"/>
      <c r="BB35" s="82"/>
      <c r="BC35" s="82"/>
      <c r="BD35" s="82"/>
      <c r="BE35" s="82"/>
      <c r="BF35" s="82"/>
      <c r="BG35" s="82"/>
      <c r="BH35" s="82"/>
      <c r="BI35" s="82"/>
      <c r="BJ35" s="559"/>
      <c r="BK35" s="559"/>
      <c r="BL35" s="559"/>
      <c r="BM35" s="559"/>
      <c r="BN35" s="559"/>
      <c r="BO35" s="559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82"/>
      <c r="CL35" s="82"/>
      <c r="CM35" s="82"/>
      <c r="CN35" s="82"/>
      <c r="CO35" s="82"/>
      <c r="CP35" s="82"/>
      <c r="CQ35" s="82"/>
      <c r="CR35" s="82"/>
      <c r="CS35" s="82"/>
      <c r="CT35" s="82"/>
      <c r="CU35" s="82"/>
      <c r="CV35" s="82"/>
      <c r="CW35" s="82"/>
      <c r="CX35" s="82"/>
      <c r="CY35" s="82"/>
      <c r="CZ35" s="82"/>
      <c r="DA35" s="82"/>
      <c r="DB35" s="82"/>
      <c r="DC35" s="82"/>
      <c r="DD35" s="82"/>
      <c r="DE35" s="82"/>
      <c r="DF35" s="82"/>
      <c r="DG35" s="82"/>
      <c r="DH35" s="82"/>
      <c r="DI35" s="82"/>
      <c r="DJ35" s="82"/>
      <c r="DK35" s="82"/>
      <c r="DL35" s="82"/>
      <c r="DM35" s="82"/>
      <c r="DN35" s="82"/>
      <c r="DO35" s="82"/>
      <c r="DP35" s="82"/>
      <c r="DQ35" s="82"/>
      <c r="DR35" s="82"/>
      <c r="DS35" s="82"/>
      <c r="DT35" s="82"/>
      <c r="DU35" s="82"/>
      <c r="DV35" s="82"/>
    </row>
    <row r="36" spans="2:137" ht="9.9" customHeight="1" x14ac:dyDescent="0.25">
      <c r="F36" s="44"/>
      <c r="G36" s="44"/>
      <c r="H36" s="44"/>
      <c r="I36" s="44"/>
      <c r="J36" s="44"/>
      <c r="K36" s="44"/>
      <c r="L36" s="44"/>
      <c r="M36" s="44"/>
      <c r="N36" s="44"/>
      <c r="O36" s="44"/>
      <c r="P36" s="44"/>
      <c r="Q36" s="44"/>
      <c r="R36" s="44"/>
      <c r="S36" s="20"/>
      <c r="T36" s="20"/>
      <c r="U36" s="618" t="s">
        <v>467</v>
      </c>
      <c r="V36" s="618"/>
      <c r="W36" s="618"/>
      <c r="X36" s="618"/>
      <c r="Y36" s="618"/>
      <c r="Z36" s="618"/>
      <c r="AA36" s="618"/>
      <c r="AB36" s="618"/>
      <c r="AC36" s="618"/>
      <c r="AD36" s="618"/>
      <c r="AE36" s="618"/>
      <c r="AF36" s="618"/>
      <c r="AG36" s="618"/>
      <c r="AH36" s="618"/>
      <c r="AI36" s="618"/>
      <c r="AJ36" s="618"/>
      <c r="AK36" s="618"/>
      <c r="AL36" s="618"/>
      <c r="AM36" s="618"/>
      <c r="AN36" s="618"/>
      <c r="AO36" s="618"/>
      <c r="AP36" s="618"/>
      <c r="AQ36" s="618"/>
      <c r="AR36" s="618"/>
      <c r="AS36" s="618"/>
      <c r="AT36" s="618"/>
      <c r="AU36" s="618"/>
      <c r="AV36" s="618"/>
      <c r="AW36" s="45"/>
      <c r="AX36" s="45"/>
      <c r="BJ36" s="559"/>
      <c r="BK36" s="559"/>
      <c r="BL36" s="559"/>
      <c r="BM36" s="559"/>
      <c r="BN36" s="559"/>
      <c r="BO36" s="559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</row>
    <row r="37" spans="2:137" ht="3.9" customHeight="1" x14ac:dyDescent="0.25">
      <c r="G37" s="46"/>
      <c r="H37" s="46"/>
      <c r="I37" s="46"/>
      <c r="J37" s="46"/>
      <c r="K37" s="46"/>
      <c r="L37" s="46"/>
      <c r="M37" s="46"/>
      <c r="N37" s="46"/>
      <c r="O37" s="46"/>
      <c r="P37" s="46"/>
      <c r="Q37" s="46"/>
      <c r="R37" s="46"/>
      <c r="S37" s="46"/>
      <c r="T37" s="46"/>
      <c r="U37" s="46"/>
      <c r="V37" s="46"/>
      <c r="W37" s="46"/>
      <c r="X37" s="46"/>
      <c r="Y37" s="46"/>
      <c r="Z37" s="46"/>
      <c r="AA37" s="46"/>
      <c r="AB37" s="46"/>
      <c r="AC37" s="46"/>
      <c r="AD37" s="46"/>
      <c r="AE37" s="46"/>
      <c r="AF37" s="46"/>
      <c r="AG37" s="46"/>
      <c r="AH37" s="46"/>
      <c r="AI37" s="46"/>
      <c r="AJ37" s="44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</row>
    <row r="38" spans="2:137" ht="12" customHeight="1" thickBot="1" x14ac:dyDescent="0.3">
      <c r="F38" s="47"/>
      <c r="G38" s="48" t="s">
        <v>279</v>
      </c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7"/>
      <c r="AN38" s="47"/>
      <c r="AO38" s="47"/>
      <c r="AP38" s="47"/>
      <c r="AQ38" s="47"/>
      <c r="AR38" s="47"/>
      <c r="AS38" s="47"/>
      <c r="AT38" s="47"/>
      <c r="AU38" s="47"/>
      <c r="AV38" s="47"/>
      <c r="AW38" s="47"/>
      <c r="AX38" s="49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/>
      <c r="DY38"/>
      <c r="DZ38"/>
      <c r="EA38"/>
      <c r="EB38"/>
      <c r="EC38"/>
      <c r="ED38"/>
      <c r="EE38"/>
      <c r="EF38"/>
      <c r="EG38"/>
    </row>
    <row r="39" spans="2:137" ht="3.9" customHeight="1" x14ac:dyDescent="0.25">
      <c r="E39" s="9" t="s">
        <v>9</v>
      </c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2"/>
      <c r="AH39" s="22"/>
      <c r="AI39" s="22"/>
      <c r="AJ39" s="22"/>
      <c r="AK39" s="44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/>
      <c r="DY39"/>
      <c r="DZ39"/>
      <c r="EA39"/>
      <c r="EB39"/>
      <c r="EC39"/>
      <c r="ED39"/>
      <c r="EE39"/>
      <c r="EF39"/>
      <c r="EG39"/>
    </row>
    <row r="40" spans="2:137" ht="11.1" customHeight="1" x14ac:dyDescent="0.25">
      <c r="G40" s="315" t="s">
        <v>10</v>
      </c>
      <c r="H40" s="316"/>
      <c r="I40" s="316"/>
      <c r="J40" s="316"/>
      <c r="K40" s="316"/>
      <c r="L40" s="316"/>
      <c r="M40" s="316"/>
      <c r="N40" s="316"/>
      <c r="O40" s="316"/>
      <c r="P40" s="316"/>
      <c r="Q40" s="316"/>
      <c r="R40" s="316"/>
      <c r="S40" s="316"/>
      <c r="T40" s="316"/>
      <c r="U40" s="316"/>
      <c r="V40" s="316"/>
      <c r="W40" s="316"/>
      <c r="X40" s="317"/>
      <c r="Y40" s="315" t="s">
        <v>69</v>
      </c>
      <c r="Z40" s="316"/>
      <c r="AA40" s="316"/>
      <c r="AB40" s="316"/>
      <c r="AC40" s="316"/>
      <c r="AD40" s="316"/>
      <c r="AE40" s="316"/>
      <c r="AF40" s="316"/>
      <c r="AG40" s="316"/>
      <c r="AH40" s="316"/>
      <c r="AI40" s="316"/>
      <c r="AJ40" s="317"/>
      <c r="AK40" s="315" t="s">
        <v>477</v>
      </c>
      <c r="AL40" s="316"/>
      <c r="AM40" s="316"/>
      <c r="AN40" s="316"/>
      <c r="AO40" s="316"/>
      <c r="AP40" s="317"/>
      <c r="AQ40" s="315" t="s">
        <v>11</v>
      </c>
      <c r="AR40" s="316"/>
      <c r="AS40" s="316"/>
      <c r="AT40" s="316"/>
      <c r="AU40" s="316"/>
      <c r="AV40" s="316"/>
      <c r="AW40" s="317"/>
      <c r="BM40" s="12"/>
      <c r="BN40" s="12"/>
      <c r="BO40" s="12"/>
      <c r="BP40" s="5"/>
      <c r="BQ40" s="5"/>
      <c r="BR40" s="5"/>
      <c r="BS40" s="5"/>
      <c r="BT40" s="5"/>
      <c r="BU40" s="5"/>
      <c r="BV40" s="5"/>
      <c r="BW40" s="5"/>
      <c r="BX40" s="5"/>
      <c r="BY40" s="12"/>
      <c r="CQ40" s="12"/>
      <c r="CR40" s="12"/>
      <c r="CS40" s="12"/>
      <c r="CT40" s="12"/>
      <c r="CU40" s="12"/>
      <c r="CV40" s="12"/>
      <c r="CW40" s="12"/>
      <c r="CX40" s="12"/>
      <c r="CY40" s="12"/>
      <c r="CZ40" s="12"/>
      <c r="DA40" s="12"/>
      <c r="DB40" s="12"/>
      <c r="DC40" s="12"/>
      <c r="DD40" s="12"/>
      <c r="DE40" s="12"/>
      <c r="DF40" s="12"/>
      <c r="DG40" s="12"/>
      <c r="DH40" s="12"/>
      <c r="DI40" s="12"/>
      <c r="DJ40" s="12"/>
      <c r="DK40" s="12"/>
      <c r="DL40" s="12"/>
      <c r="DM40" s="12"/>
      <c r="DN40" s="12"/>
      <c r="DO40" s="12"/>
      <c r="DP40" s="12"/>
      <c r="DQ40" s="12"/>
      <c r="DR40" s="12"/>
      <c r="DS40" s="12"/>
      <c r="DT40" s="12"/>
      <c r="DU40" s="12"/>
      <c r="DV40" s="12"/>
      <c r="DW40" s="12"/>
      <c r="DX40" s="12"/>
      <c r="DY40" s="12"/>
      <c r="DZ40" s="12"/>
      <c r="EA40" s="12"/>
    </row>
    <row r="41" spans="2:137" ht="11.1" customHeight="1" x14ac:dyDescent="0.25">
      <c r="G41" s="790">
        <f>Proposta_Constr_Individual!G44</f>
        <v>0</v>
      </c>
      <c r="H41" s="790"/>
      <c r="I41" s="790"/>
      <c r="J41" s="790"/>
      <c r="K41" s="790"/>
      <c r="L41" s="790"/>
      <c r="M41" s="790"/>
      <c r="N41" s="790"/>
      <c r="O41" s="790"/>
      <c r="P41" s="790"/>
      <c r="Q41" s="790"/>
      <c r="R41" s="790"/>
      <c r="S41" s="790"/>
      <c r="T41" s="790"/>
      <c r="U41" s="790"/>
      <c r="V41" s="790"/>
      <c r="W41" s="790"/>
      <c r="X41" s="790"/>
      <c r="Y41" s="805">
        <f>Proposta_Constr_Individual!Y44</f>
        <v>0</v>
      </c>
      <c r="Z41" s="806"/>
      <c r="AA41" s="806"/>
      <c r="AB41" s="806"/>
      <c r="AC41" s="806"/>
      <c r="AD41" s="806"/>
      <c r="AE41" s="806"/>
      <c r="AF41" s="806"/>
      <c r="AG41" s="806"/>
      <c r="AH41" s="806"/>
      <c r="AI41" s="806"/>
      <c r="AJ41" s="807"/>
      <c r="AK41" s="800">
        <f>Proposta_Constr_Individual!AK44</f>
        <v>0</v>
      </c>
      <c r="AL41" s="801"/>
      <c r="AM41" s="801"/>
      <c r="AN41" s="801"/>
      <c r="AO41" s="801"/>
      <c r="AP41" s="802"/>
      <c r="AQ41" s="798">
        <f>Proposta_Constr_Individual!AQ44</f>
        <v>0</v>
      </c>
      <c r="AR41" s="799"/>
      <c r="AS41" s="803">
        <f>Proposta_Constr_Individual!AS44</f>
        <v>0</v>
      </c>
      <c r="AT41" s="803"/>
      <c r="AU41" s="803"/>
      <c r="AV41" s="803"/>
      <c r="AW41" s="804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P41" s="5"/>
      <c r="BQ41" s="5"/>
      <c r="BR41" s="5"/>
      <c r="BS41" s="5"/>
      <c r="BT41" s="5"/>
      <c r="BU41" s="5"/>
      <c r="BV41" s="5"/>
      <c r="BW41" s="5"/>
      <c r="BX41" s="5"/>
      <c r="CC41" s="5"/>
      <c r="CD41" s="5"/>
      <c r="CE41" s="5"/>
      <c r="CQ41" s="12"/>
      <c r="CR41" s="12"/>
      <c r="CS41" s="12"/>
      <c r="CT41" s="12"/>
      <c r="CU41" s="12"/>
      <c r="CV41" s="12"/>
      <c r="CW41" s="12"/>
      <c r="CX41" s="12"/>
      <c r="CY41" s="12"/>
      <c r="CZ41" s="12"/>
      <c r="DA41" s="12"/>
      <c r="DB41" s="12"/>
      <c r="DC41" s="12"/>
      <c r="DD41" s="12"/>
      <c r="DE41" s="12"/>
      <c r="DF41" s="12"/>
      <c r="DG41" s="12"/>
      <c r="DH41" s="12"/>
      <c r="DI41" s="12"/>
      <c r="DJ41" s="12"/>
      <c r="DK41" s="12"/>
      <c r="DL41" s="12"/>
      <c r="DM41" s="12"/>
      <c r="DN41" s="12"/>
      <c r="DO41" s="12"/>
      <c r="DP41" s="12"/>
      <c r="DQ41" s="12"/>
      <c r="DR41" s="12"/>
      <c r="DS41" s="12"/>
      <c r="DT41" s="12"/>
      <c r="DU41" s="12"/>
      <c r="DV41" s="12"/>
      <c r="DW41" s="12"/>
      <c r="DX41" s="12"/>
      <c r="DY41" s="12"/>
      <c r="DZ41" s="12"/>
      <c r="EA41" s="12"/>
    </row>
    <row r="42" spans="2:137" ht="3.9" customHeight="1" x14ac:dyDescent="0.25"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  <c r="AB42" s="50"/>
      <c r="AC42" s="50"/>
      <c r="AD42" s="50"/>
      <c r="AE42" s="50"/>
      <c r="AF42" s="50"/>
      <c r="AG42" s="50"/>
      <c r="AH42" s="50"/>
      <c r="AI42" s="50"/>
      <c r="AJ42" s="50"/>
      <c r="AK42" s="50"/>
      <c r="AL42" s="51"/>
      <c r="AM42" s="51"/>
      <c r="AN42" s="52"/>
      <c r="AO42" s="52"/>
      <c r="AP42" s="52"/>
      <c r="AQ42" s="52"/>
      <c r="AR42" s="52"/>
      <c r="AS42" s="52"/>
      <c r="AT42" s="52"/>
      <c r="AU42" s="52"/>
      <c r="AV42" s="52"/>
      <c r="AW42" s="52"/>
      <c r="AX42" s="11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CC42" s="5"/>
      <c r="CD42" s="5"/>
      <c r="CE42" s="5"/>
      <c r="CQ42" s="12"/>
      <c r="CR42" s="12"/>
      <c r="CS42" s="12"/>
      <c r="CT42" s="12"/>
      <c r="CU42" s="12"/>
      <c r="CV42" s="12"/>
      <c r="CW42" s="12"/>
      <c r="CX42" s="12"/>
      <c r="CY42" s="12"/>
      <c r="CZ42" s="12"/>
      <c r="DA42" s="12"/>
      <c r="DB42" s="12"/>
      <c r="DC42" s="12"/>
      <c r="DD42" s="12"/>
      <c r="DE42" s="12"/>
      <c r="DF42" s="12"/>
      <c r="DG42" s="12"/>
      <c r="DH42" s="12"/>
      <c r="DI42" s="12"/>
      <c r="DJ42" s="12"/>
      <c r="DK42" s="12"/>
      <c r="DL42" s="12"/>
      <c r="DM42" s="12"/>
      <c r="DN42" s="12"/>
      <c r="DO42" s="12"/>
      <c r="DP42" s="12"/>
      <c r="DQ42" s="12"/>
      <c r="DR42" s="12"/>
      <c r="DS42" s="12"/>
      <c r="DT42" s="12"/>
      <c r="DU42" s="12"/>
      <c r="DV42" s="12"/>
      <c r="DW42" s="12"/>
      <c r="DX42" s="12"/>
      <c r="DY42" s="12"/>
      <c r="DZ42" s="12"/>
      <c r="EA42" s="12"/>
    </row>
    <row r="43" spans="2:137" ht="11.1" customHeight="1" x14ac:dyDescent="0.25">
      <c r="G43" s="315" t="s">
        <v>331</v>
      </c>
      <c r="H43" s="316"/>
      <c r="I43" s="316"/>
      <c r="J43" s="316"/>
      <c r="K43" s="316"/>
      <c r="L43" s="316"/>
      <c r="M43" s="316"/>
      <c r="N43" s="316"/>
      <c r="O43" s="316"/>
      <c r="P43" s="317"/>
      <c r="Q43" s="315" t="s">
        <v>213</v>
      </c>
      <c r="R43" s="316"/>
      <c r="S43" s="316"/>
      <c r="T43" s="316"/>
      <c r="U43" s="316"/>
      <c r="V43" s="316"/>
      <c r="W43" s="316"/>
      <c r="X43" s="316"/>
      <c r="Y43" s="316"/>
      <c r="Z43" s="316"/>
      <c r="AA43" s="317"/>
      <c r="AB43" s="315" t="s">
        <v>214</v>
      </c>
      <c r="AC43" s="316"/>
      <c r="AD43" s="316"/>
      <c r="AE43" s="316"/>
      <c r="AF43" s="316"/>
      <c r="AG43" s="316"/>
      <c r="AH43" s="317"/>
      <c r="AI43" s="209" t="s">
        <v>12</v>
      </c>
      <c r="AJ43" s="211"/>
      <c r="AK43" s="315" t="s">
        <v>215</v>
      </c>
      <c r="AL43" s="316"/>
      <c r="AM43" s="316"/>
      <c r="AN43" s="316"/>
      <c r="AO43" s="316"/>
      <c r="AP43" s="317"/>
      <c r="AQ43" s="315" t="s">
        <v>216</v>
      </c>
      <c r="AR43" s="316"/>
      <c r="AS43" s="316"/>
      <c r="AT43" s="316"/>
      <c r="AU43" s="316"/>
      <c r="AV43" s="316"/>
      <c r="AW43" s="317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12"/>
      <c r="CQ43" s="12"/>
      <c r="CR43" s="12"/>
      <c r="CS43" s="12"/>
      <c r="CT43" s="12"/>
      <c r="CU43" s="12"/>
      <c r="CV43" s="12"/>
      <c r="CW43" s="12"/>
      <c r="CX43" s="12"/>
      <c r="CY43" s="12"/>
      <c r="CZ43" s="12"/>
      <c r="DA43" s="12"/>
      <c r="DB43" s="12"/>
      <c r="DC43" s="12"/>
      <c r="DD43" s="12"/>
      <c r="DE43" s="12"/>
      <c r="DF43" s="12"/>
      <c r="DG43" s="12"/>
      <c r="DH43" s="12"/>
      <c r="DI43" s="12"/>
      <c r="DJ43" s="12"/>
      <c r="DK43" s="12"/>
      <c r="DL43" s="12"/>
      <c r="DM43" s="12"/>
      <c r="DN43" s="12"/>
      <c r="DO43" s="12"/>
      <c r="DP43" s="12"/>
      <c r="DQ43" s="12"/>
      <c r="DR43" s="12"/>
      <c r="DS43" s="12"/>
      <c r="DT43" s="12"/>
      <c r="DU43" s="12"/>
      <c r="DV43" s="12"/>
      <c r="DW43" s="12"/>
      <c r="DX43" s="12"/>
      <c r="DY43" s="12"/>
      <c r="DZ43" s="12"/>
      <c r="EA43" s="12"/>
    </row>
    <row r="44" spans="2:137" ht="11.1" customHeight="1" x14ac:dyDescent="0.25">
      <c r="G44" s="790">
        <f>Proposta_Constr_Individual!G47</f>
        <v>0</v>
      </c>
      <c r="H44" s="790"/>
      <c r="I44" s="790"/>
      <c r="J44" s="790"/>
      <c r="K44" s="790"/>
      <c r="L44" s="790"/>
      <c r="M44" s="790"/>
      <c r="N44" s="790"/>
      <c r="O44" s="790"/>
      <c r="P44" s="790"/>
      <c r="Q44" s="791">
        <f>Proposta_Constr_Individual!Q47</f>
        <v>0</v>
      </c>
      <c r="R44" s="791"/>
      <c r="S44" s="791"/>
      <c r="T44" s="791"/>
      <c r="U44" s="791"/>
      <c r="V44" s="791"/>
      <c r="W44" s="791"/>
      <c r="X44" s="791"/>
      <c r="Y44" s="791"/>
      <c r="Z44" s="791"/>
      <c r="AA44" s="791"/>
      <c r="AB44" s="796">
        <f>Proposta_Constr_Individual!AB47</f>
        <v>0</v>
      </c>
      <c r="AC44" s="796"/>
      <c r="AD44" s="796"/>
      <c r="AE44" s="796"/>
      <c r="AF44" s="796"/>
      <c r="AG44" s="796"/>
      <c r="AH44" s="797"/>
      <c r="AI44" s="798">
        <f>Proposta_Constr_Individual!AI47</f>
        <v>0</v>
      </c>
      <c r="AJ44" s="799"/>
      <c r="AK44" s="800">
        <f>Proposta_Constr_Individual!AK47</f>
        <v>0</v>
      </c>
      <c r="AL44" s="801"/>
      <c r="AM44" s="801"/>
      <c r="AN44" s="801"/>
      <c r="AO44" s="801"/>
      <c r="AP44" s="802"/>
      <c r="AQ44" s="798">
        <f>Proposta_Constr_Individual!AQ47</f>
        <v>0</v>
      </c>
      <c r="AR44" s="799"/>
      <c r="AS44" s="803">
        <f>Proposta_Constr_Individual!AS47</f>
        <v>0</v>
      </c>
      <c r="AT44" s="803"/>
      <c r="AU44" s="803"/>
      <c r="AV44" s="803"/>
      <c r="AW44" s="804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12"/>
      <c r="CQ44" s="12"/>
      <c r="CR44" s="12"/>
      <c r="CS44" s="12"/>
      <c r="CT44" s="12"/>
      <c r="CU44" s="12"/>
      <c r="CV44" s="12"/>
      <c r="CW44" s="12"/>
      <c r="CX44" s="12"/>
      <c r="CY44" s="12"/>
      <c r="CZ44" s="12"/>
      <c r="DA44" s="12"/>
      <c r="DB44" s="12"/>
      <c r="DC44" s="12"/>
      <c r="DD44" s="12"/>
      <c r="DE44" s="12"/>
      <c r="DF44" s="12"/>
      <c r="DG44" s="12"/>
      <c r="DH44" s="12"/>
      <c r="DI44" s="12"/>
      <c r="DJ44" s="12"/>
      <c r="DK44" s="12"/>
      <c r="DL44" s="12"/>
      <c r="DM44" s="12"/>
      <c r="DN44" s="12"/>
      <c r="DO44" s="12"/>
      <c r="DP44" s="12"/>
      <c r="DQ44" s="12"/>
      <c r="DR44" s="12"/>
      <c r="DS44" s="12"/>
      <c r="DT44" s="12"/>
      <c r="DU44" s="12"/>
      <c r="DV44" s="12"/>
      <c r="DW44" s="12"/>
      <c r="DX44" s="12"/>
      <c r="DY44" s="12"/>
      <c r="DZ44" s="12"/>
      <c r="EA44" s="12"/>
    </row>
    <row r="45" spans="2:137" ht="3.9" customHeight="1" x14ac:dyDescent="0.25">
      <c r="G45" s="50"/>
      <c r="H45" s="50"/>
      <c r="I45" s="50"/>
      <c r="J45" s="50"/>
      <c r="K45" s="50"/>
      <c r="L45" s="50"/>
      <c r="M45" s="50"/>
      <c r="N45" s="50"/>
      <c r="O45" s="50"/>
      <c r="P45" s="50"/>
      <c r="Q45" s="50"/>
      <c r="R45" s="50"/>
      <c r="S45" s="50"/>
      <c r="T45" s="50"/>
      <c r="U45" s="50"/>
      <c r="V45" s="50"/>
      <c r="W45" s="50"/>
      <c r="X45" s="50"/>
      <c r="Y45" s="50"/>
      <c r="Z45" s="50"/>
      <c r="AA45" s="50"/>
      <c r="AB45" s="50"/>
      <c r="AC45" s="50"/>
      <c r="AD45" s="50"/>
      <c r="AE45" s="50"/>
      <c r="AF45" s="50"/>
      <c r="AG45" s="50"/>
      <c r="AH45" s="50"/>
      <c r="AI45" s="50"/>
      <c r="AJ45" s="50"/>
      <c r="AK45" s="51"/>
      <c r="AL45" s="52"/>
      <c r="AM45" s="52"/>
      <c r="AN45" s="52"/>
      <c r="AO45" s="52"/>
      <c r="AP45" s="52"/>
      <c r="AQ45" s="52"/>
      <c r="AR45" s="52"/>
      <c r="AS45" s="52"/>
      <c r="AT45" s="52"/>
      <c r="AU45" s="52"/>
      <c r="AV45" s="52"/>
      <c r="AW45" s="52"/>
      <c r="AX45" s="11"/>
      <c r="AY45" s="11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12"/>
      <c r="CQ45" s="12"/>
      <c r="CR45" s="12"/>
      <c r="CS45" s="12"/>
      <c r="CT45" s="12"/>
      <c r="CU45" s="12"/>
      <c r="CV45" s="12"/>
      <c r="CW45" s="12"/>
      <c r="CX45" s="12"/>
      <c r="CY45" s="12"/>
      <c r="CZ45" s="12"/>
      <c r="DA45" s="12"/>
      <c r="DB45" s="12"/>
      <c r="DC45" s="12"/>
      <c r="DD45" s="12"/>
      <c r="DE45" s="12"/>
      <c r="DF45" s="12"/>
      <c r="DG45" s="12"/>
      <c r="DH45" s="12"/>
      <c r="DI45" s="12"/>
      <c r="DJ45" s="12"/>
      <c r="DK45" s="12"/>
      <c r="DL45" s="12"/>
      <c r="DM45" s="12"/>
      <c r="DN45" s="12"/>
      <c r="DO45" s="12"/>
      <c r="DP45" s="12"/>
      <c r="DQ45" s="12"/>
      <c r="DR45" s="12"/>
      <c r="DS45" s="12"/>
      <c r="DT45" s="12"/>
      <c r="DU45" s="12"/>
      <c r="DV45" s="12"/>
      <c r="DW45" s="12"/>
      <c r="DX45" s="12"/>
      <c r="DY45" s="12"/>
      <c r="DZ45" s="12"/>
      <c r="EA45" s="12"/>
    </row>
    <row r="46" spans="2:137" ht="11.1" customHeight="1" x14ac:dyDescent="0.25">
      <c r="G46" s="315" t="s">
        <v>332</v>
      </c>
      <c r="H46" s="316"/>
      <c r="I46" s="316"/>
      <c r="J46" s="316"/>
      <c r="K46" s="316"/>
      <c r="L46" s="316"/>
      <c r="M46" s="316"/>
      <c r="N46" s="316"/>
      <c r="O46" s="316"/>
      <c r="P46" s="317"/>
      <c r="Q46" s="315" t="s">
        <v>217</v>
      </c>
      <c r="R46" s="316"/>
      <c r="S46" s="316"/>
      <c r="T46" s="316"/>
      <c r="U46" s="316"/>
      <c r="V46" s="316"/>
      <c r="W46" s="316"/>
      <c r="X46" s="316"/>
      <c r="Y46" s="316"/>
      <c r="Z46" s="316"/>
      <c r="AA46" s="317"/>
      <c r="AB46" s="315" t="s">
        <v>218</v>
      </c>
      <c r="AC46" s="316"/>
      <c r="AD46" s="316"/>
      <c r="AE46" s="316"/>
      <c r="AF46" s="316"/>
      <c r="AG46" s="316"/>
      <c r="AH46" s="317"/>
      <c r="AI46" s="209" t="s">
        <v>12</v>
      </c>
      <c r="AJ46" s="211"/>
      <c r="AK46" s="315" t="s">
        <v>219</v>
      </c>
      <c r="AL46" s="316"/>
      <c r="AM46" s="316"/>
      <c r="AN46" s="316"/>
      <c r="AO46" s="316"/>
      <c r="AP46" s="317"/>
      <c r="AQ46" s="315" t="s">
        <v>220</v>
      </c>
      <c r="AR46" s="316"/>
      <c r="AS46" s="316"/>
      <c r="AT46" s="316"/>
      <c r="AU46" s="316"/>
      <c r="AV46" s="316"/>
      <c r="AW46" s="317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12"/>
      <c r="CQ46" s="12"/>
      <c r="CR46" s="12"/>
      <c r="CS46" s="12"/>
      <c r="CT46" s="12"/>
      <c r="CU46" s="12"/>
      <c r="CV46" s="12"/>
      <c r="CW46" s="12"/>
      <c r="CX46" s="12"/>
      <c r="CY46" s="12"/>
      <c r="CZ46" s="12"/>
      <c r="DA46" s="12"/>
      <c r="DB46" s="12"/>
      <c r="DC46" s="12"/>
      <c r="DD46" s="12"/>
      <c r="DE46" s="12"/>
      <c r="DF46" s="12"/>
      <c r="DG46" s="12"/>
      <c r="DH46" s="12"/>
      <c r="DI46" s="12"/>
      <c r="DJ46" s="12"/>
      <c r="DK46" s="12"/>
      <c r="DL46" s="12"/>
      <c r="DM46" s="12"/>
      <c r="DN46" s="12"/>
      <c r="DO46" s="12"/>
      <c r="DP46" s="12"/>
      <c r="DQ46" s="12"/>
      <c r="DR46" s="12"/>
      <c r="DS46" s="12"/>
      <c r="DT46" s="12"/>
      <c r="DU46" s="12"/>
      <c r="DV46" s="12"/>
      <c r="DW46" s="12"/>
      <c r="DX46" s="12"/>
      <c r="DY46" s="12"/>
      <c r="DZ46" s="12"/>
      <c r="EA46" s="12"/>
    </row>
    <row r="47" spans="2:137" ht="11.1" customHeight="1" x14ac:dyDescent="0.25">
      <c r="G47" s="790">
        <f>Proposta_Constr_Individual!G50</f>
        <v>0</v>
      </c>
      <c r="H47" s="790"/>
      <c r="I47" s="790"/>
      <c r="J47" s="790"/>
      <c r="K47" s="790"/>
      <c r="L47" s="790"/>
      <c r="M47" s="790"/>
      <c r="N47" s="790"/>
      <c r="O47" s="790"/>
      <c r="P47" s="790"/>
      <c r="Q47" s="791">
        <f>Proposta_Constr_Individual!Q50</f>
        <v>0</v>
      </c>
      <c r="R47" s="791"/>
      <c r="S47" s="791"/>
      <c r="T47" s="791"/>
      <c r="U47" s="791"/>
      <c r="V47" s="791"/>
      <c r="W47" s="791"/>
      <c r="X47" s="791"/>
      <c r="Y47" s="791"/>
      <c r="Z47" s="791"/>
      <c r="AA47" s="791"/>
      <c r="AB47" s="796">
        <f>Proposta_Constr_Individual!AB50</f>
        <v>0</v>
      </c>
      <c r="AC47" s="796"/>
      <c r="AD47" s="796"/>
      <c r="AE47" s="796"/>
      <c r="AF47" s="796"/>
      <c r="AG47" s="796"/>
      <c r="AH47" s="797"/>
      <c r="AI47" s="798">
        <f>Proposta_Constr_Individual!AI50</f>
        <v>0</v>
      </c>
      <c r="AJ47" s="799"/>
      <c r="AK47" s="800">
        <f>Proposta_Constr_Individual!AK50</f>
        <v>0</v>
      </c>
      <c r="AL47" s="801"/>
      <c r="AM47" s="801"/>
      <c r="AN47" s="801"/>
      <c r="AO47" s="801"/>
      <c r="AP47" s="802"/>
      <c r="AQ47" s="798">
        <f>Proposta_Constr_Individual!AQ50</f>
        <v>0</v>
      </c>
      <c r="AR47" s="799"/>
      <c r="AS47" s="803">
        <f>Proposta_Constr_Individual!AS50</f>
        <v>0</v>
      </c>
      <c r="AT47" s="803"/>
      <c r="AU47" s="803"/>
      <c r="AV47" s="803"/>
      <c r="AW47" s="804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12"/>
      <c r="CQ47" s="12"/>
      <c r="CR47" s="12"/>
      <c r="CS47" s="12"/>
      <c r="CT47" s="12"/>
      <c r="CU47" s="12"/>
      <c r="CV47" s="12"/>
      <c r="CW47" s="12"/>
      <c r="CX47" s="12"/>
      <c r="CY47" s="12"/>
      <c r="CZ47" s="12"/>
      <c r="DA47" s="12"/>
      <c r="DB47" s="12"/>
      <c r="DC47" s="12"/>
      <c r="DD47" s="12"/>
      <c r="DE47" s="12"/>
      <c r="DF47" s="12"/>
      <c r="DG47" s="12"/>
      <c r="DH47" s="12"/>
      <c r="DI47" s="12"/>
      <c r="DJ47" s="12"/>
      <c r="DK47" s="12"/>
      <c r="DL47" s="12"/>
      <c r="DM47" s="12"/>
      <c r="DN47" s="12"/>
      <c r="DO47" s="12"/>
      <c r="DP47" s="12"/>
      <c r="DQ47" s="12"/>
      <c r="DR47" s="12"/>
      <c r="DS47" s="12"/>
      <c r="DT47" s="12"/>
      <c r="DU47" s="12"/>
      <c r="DV47" s="12"/>
      <c r="DW47" s="12"/>
      <c r="DX47" s="12"/>
      <c r="DY47" s="12"/>
      <c r="DZ47" s="12"/>
      <c r="EA47" s="12"/>
    </row>
    <row r="48" spans="2:137" ht="3.9" customHeight="1" x14ac:dyDescent="0.25">
      <c r="G48" s="50"/>
      <c r="H48" s="50"/>
      <c r="I48" s="50"/>
      <c r="J48" s="50"/>
      <c r="K48" s="50"/>
      <c r="L48" s="50"/>
      <c r="M48" s="50"/>
      <c r="N48" s="50"/>
      <c r="O48" s="50"/>
      <c r="P48" s="50"/>
      <c r="Q48" s="50"/>
      <c r="R48" s="50"/>
      <c r="S48" s="50"/>
      <c r="T48" s="50"/>
      <c r="U48" s="50"/>
      <c r="V48" s="50"/>
      <c r="W48" s="50"/>
      <c r="X48" s="50"/>
      <c r="Y48" s="50"/>
      <c r="Z48" s="50"/>
      <c r="AA48" s="50"/>
      <c r="AB48" s="50"/>
      <c r="AC48" s="50"/>
      <c r="AD48" s="50"/>
      <c r="AE48" s="50"/>
      <c r="AF48" s="50"/>
      <c r="AG48" s="50"/>
      <c r="AH48" s="50"/>
      <c r="AI48" s="50"/>
      <c r="AJ48" s="50"/>
      <c r="AK48" s="51"/>
      <c r="AL48" s="52"/>
      <c r="AM48" s="52"/>
      <c r="AN48" s="52"/>
      <c r="AO48" s="52"/>
      <c r="AP48" s="52"/>
      <c r="AQ48" s="52"/>
      <c r="AR48" s="52"/>
      <c r="AS48" s="52"/>
      <c r="AT48" s="52"/>
      <c r="AU48" s="52"/>
      <c r="AV48" s="52"/>
      <c r="AW48" s="52"/>
      <c r="AX48" s="11"/>
      <c r="AY48" s="11"/>
      <c r="AZ48" s="5"/>
      <c r="BA48" s="5"/>
      <c r="BB48" s="5"/>
      <c r="BC48" s="5"/>
      <c r="BL48" s="5"/>
      <c r="BM48" s="5"/>
      <c r="BN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12"/>
      <c r="DY48" s="12"/>
      <c r="DZ48" s="12"/>
      <c r="EA48" s="12"/>
    </row>
    <row r="49" spans="1:171" ht="11.1" customHeight="1" x14ac:dyDescent="0.25">
      <c r="G49" s="731" t="s">
        <v>283</v>
      </c>
      <c r="H49" s="732"/>
      <c r="I49" s="732"/>
      <c r="J49" s="732"/>
      <c r="K49" s="732"/>
      <c r="L49" s="732"/>
      <c r="M49" s="732"/>
      <c r="N49" s="732"/>
      <c r="O49" s="732"/>
      <c r="P49" s="732"/>
      <c r="Q49" s="732"/>
      <c r="R49" s="732"/>
      <c r="S49" s="732"/>
      <c r="T49" s="732"/>
      <c r="U49" s="732"/>
      <c r="V49" s="732"/>
      <c r="W49" s="732"/>
      <c r="X49" s="732"/>
      <c r="Y49" s="732"/>
      <c r="Z49" s="732"/>
      <c r="AA49" s="732"/>
      <c r="AB49" s="732"/>
      <c r="AC49" s="732"/>
      <c r="AD49" s="732"/>
      <c r="AE49" s="732"/>
      <c r="AF49" s="732"/>
      <c r="AG49" s="732"/>
      <c r="AH49" s="732"/>
      <c r="AI49" s="732"/>
      <c r="AJ49" s="732"/>
      <c r="AK49" s="732"/>
      <c r="AL49" s="732"/>
      <c r="AM49" s="732"/>
      <c r="AN49" s="732"/>
      <c r="AO49" s="732"/>
      <c r="AP49" s="732"/>
      <c r="AQ49" s="732"/>
      <c r="AR49" s="732"/>
      <c r="AS49" s="732"/>
      <c r="AT49" s="732"/>
      <c r="AU49" s="732"/>
      <c r="AV49" s="732"/>
      <c r="AW49" s="733"/>
      <c r="AZ49" s="5"/>
      <c r="BA49" s="5"/>
      <c r="BB49" s="5"/>
      <c r="BC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</row>
    <row r="50" spans="1:171" ht="11.1" customHeight="1" x14ac:dyDescent="0.25">
      <c r="G50" s="511" t="s">
        <v>60</v>
      </c>
      <c r="H50" s="512"/>
      <c r="I50" s="512"/>
      <c r="J50" s="512"/>
      <c r="K50" s="512"/>
      <c r="L50" s="512"/>
      <c r="M50" s="512"/>
      <c r="N50" s="512"/>
      <c r="O50" s="512"/>
      <c r="P50" s="512"/>
      <c r="Q50" s="512"/>
      <c r="R50" s="512"/>
      <c r="S50" s="512"/>
      <c r="T50" s="512"/>
      <c r="U50" s="512"/>
      <c r="V50" s="512"/>
      <c r="W50" s="512"/>
      <c r="X50" s="512"/>
      <c r="Y50" s="512"/>
      <c r="Z50" s="512"/>
      <c r="AA50" s="512"/>
      <c r="AB50" s="512"/>
      <c r="AC50" s="512"/>
      <c r="AD50" s="512"/>
      <c r="AE50" s="512"/>
      <c r="AF50" s="512"/>
      <c r="AG50" s="512"/>
      <c r="AH50" s="512"/>
      <c r="AI50" s="513"/>
      <c r="AJ50" s="511" t="s">
        <v>13</v>
      </c>
      <c r="AK50" s="512"/>
      <c r="AL50" s="512"/>
      <c r="AM50" s="512"/>
      <c r="AN50" s="512"/>
      <c r="AO50" s="512"/>
      <c r="AP50" s="512"/>
      <c r="AQ50" s="512"/>
      <c r="AR50" s="512"/>
      <c r="AS50" s="512"/>
      <c r="AT50" s="512"/>
      <c r="AU50" s="512"/>
      <c r="AV50" s="512"/>
      <c r="AW50" s="513"/>
      <c r="AZ50" s="5"/>
      <c r="BA50" s="5"/>
      <c r="BB50" s="5"/>
      <c r="BC50" s="5"/>
      <c r="BL50" s="5"/>
      <c r="BM50" s="5"/>
      <c r="BN50" s="5"/>
      <c r="BO50" s="5"/>
      <c r="BP50" s="5"/>
      <c r="BQ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</row>
    <row r="51" spans="1:171" ht="11.1" customHeight="1" x14ac:dyDescent="0.25">
      <c r="G51" s="796">
        <f>Proposta_Constr_Individual!G54</f>
        <v>0</v>
      </c>
      <c r="H51" s="796"/>
      <c r="I51" s="796"/>
      <c r="J51" s="796"/>
      <c r="K51" s="796"/>
      <c r="L51" s="796"/>
      <c r="M51" s="796"/>
      <c r="N51" s="796"/>
      <c r="O51" s="796"/>
      <c r="P51" s="796"/>
      <c r="Q51" s="796"/>
      <c r="R51" s="796"/>
      <c r="S51" s="796"/>
      <c r="T51" s="796"/>
      <c r="U51" s="796"/>
      <c r="V51" s="796"/>
      <c r="W51" s="796"/>
      <c r="X51" s="796"/>
      <c r="Y51" s="796"/>
      <c r="Z51" s="796"/>
      <c r="AA51" s="796"/>
      <c r="AB51" s="796"/>
      <c r="AC51" s="796"/>
      <c r="AD51" s="796"/>
      <c r="AE51" s="796"/>
      <c r="AF51" s="796"/>
      <c r="AG51" s="796"/>
      <c r="AH51" s="796"/>
      <c r="AI51" s="796"/>
      <c r="AJ51" s="796">
        <f>Proposta_Constr_Individual!AJ54</f>
        <v>0</v>
      </c>
      <c r="AK51" s="796"/>
      <c r="AL51" s="796"/>
      <c r="AM51" s="796"/>
      <c r="AN51" s="796"/>
      <c r="AO51" s="796"/>
      <c r="AP51" s="796"/>
      <c r="AQ51" s="796"/>
      <c r="AR51" s="796"/>
      <c r="AS51" s="796"/>
      <c r="AT51" s="796"/>
      <c r="AU51" s="796"/>
      <c r="AV51" s="796"/>
      <c r="AW51" s="796"/>
      <c r="AZ51" s="5"/>
      <c r="BA51" s="5"/>
      <c r="BB51" s="5"/>
      <c r="BC51" s="5"/>
      <c r="BL51" s="5"/>
      <c r="BM51" s="5"/>
      <c r="BN51" s="5"/>
      <c r="BO51" s="5"/>
      <c r="BP51" s="5"/>
      <c r="BQ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</row>
    <row r="52" spans="1:171" ht="11.1" customHeight="1" x14ac:dyDescent="0.25">
      <c r="G52" s="511" t="s">
        <v>14</v>
      </c>
      <c r="H52" s="512"/>
      <c r="I52" s="512"/>
      <c r="J52" s="512"/>
      <c r="K52" s="512"/>
      <c r="L52" s="512"/>
      <c r="M52" s="512"/>
      <c r="N52" s="512"/>
      <c r="O52" s="512"/>
      <c r="P52" s="512"/>
      <c r="Q52" s="512"/>
      <c r="R52" s="512"/>
      <c r="S52" s="512"/>
      <c r="T52" s="512"/>
      <c r="U52" s="513"/>
      <c r="V52" s="334" t="s">
        <v>15</v>
      </c>
      <c r="W52" s="237"/>
      <c r="X52" s="237"/>
      <c r="Y52" s="237"/>
      <c r="Z52" s="238"/>
      <c r="AA52" s="334" t="s">
        <v>16</v>
      </c>
      <c r="AB52" s="237"/>
      <c r="AC52" s="237"/>
      <c r="AD52" s="237"/>
      <c r="AE52" s="237"/>
      <c r="AF52" s="237"/>
      <c r="AG52" s="237"/>
      <c r="AH52" s="237"/>
      <c r="AI52" s="237"/>
      <c r="AJ52" s="237"/>
      <c r="AK52" s="237"/>
      <c r="AL52" s="237"/>
      <c r="AM52" s="237"/>
      <c r="AN52" s="237"/>
      <c r="AO52" s="237"/>
      <c r="AP52" s="237"/>
      <c r="AQ52" s="237"/>
      <c r="AR52" s="237"/>
      <c r="AS52" s="237"/>
      <c r="AT52" s="237"/>
      <c r="AU52" s="238"/>
      <c r="AV52" s="209" t="s">
        <v>12</v>
      </c>
      <c r="AW52" s="211"/>
      <c r="AX52" s="11"/>
      <c r="AY52" s="11"/>
      <c r="AZ52" s="5"/>
      <c r="BA52" s="5"/>
      <c r="BB52" s="5"/>
      <c r="BC52" s="5"/>
      <c r="BL52" s="5"/>
      <c r="BM52" s="5"/>
      <c r="BN52" s="5"/>
      <c r="BO52" s="5"/>
      <c r="BP52" s="5"/>
      <c r="BQ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</row>
    <row r="53" spans="1:171" ht="11.1" customHeight="1" x14ac:dyDescent="0.25">
      <c r="G53" s="790">
        <f>Proposta_Constr_Individual!G56</f>
        <v>0</v>
      </c>
      <c r="H53" s="790"/>
      <c r="I53" s="790"/>
      <c r="J53" s="790"/>
      <c r="K53" s="790"/>
      <c r="L53" s="790"/>
      <c r="M53" s="790"/>
      <c r="N53" s="790"/>
      <c r="O53" s="790"/>
      <c r="P53" s="790"/>
      <c r="Q53" s="790"/>
      <c r="R53" s="790"/>
      <c r="S53" s="790"/>
      <c r="T53" s="790"/>
      <c r="U53" s="790"/>
      <c r="V53" s="808">
        <f>Proposta_Constr_Individual!V56</f>
        <v>0</v>
      </c>
      <c r="W53" s="808"/>
      <c r="X53" s="808"/>
      <c r="Y53" s="808"/>
      <c r="Z53" s="808"/>
      <c r="AA53" s="790">
        <f>Proposta_Constr_Individual!AA56</f>
        <v>0</v>
      </c>
      <c r="AB53" s="790"/>
      <c r="AC53" s="790"/>
      <c r="AD53" s="790"/>
      <c r="AE53" s="790"/>
      <c r="AF53" s="790"/>
      <c r="AG53" s="790"/>
      <c r="AH53" s="790"/>
      <c r="AI53" s="790"/>
      <c r="AJ53" s="790"/>
      <c r="AK53" s="790"/>
      <c r="AL53" s="790"/>
      <c r="AM53" s="790"/>
      <c r="AN53" s="790"/>
      <c r="AO53" s="790"/>
      <c r="AP53" s="790"/>
      <c r="AQ53" s="790"/>
      <c r="AR53" s="790"/>
      <c r="AS53" s="790"/>
      <c r="AT53" s="790"/>
      <c r="AU53" s="790"/>
      <c r="AV53" s="798">
        <f>Proposta_Constr_Individual!AV56</f>
        <v>0</v>
      </c>
      <c r="AW53" s="799"/>
      <c r="AX53" s="11"/>
      <c r="AY53" s="11"/>
      <c r="AZ53" s="5"/>
      <c r="BA53" s="5"/>
      <c r="BB53" s="5"/>
      <c r="BC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</row>
    <row r="54" spans="1:171" s="42" customFormat="1" ht="6" customHeight="1" x14ac:dyDescent="0.25">
      <c r="A54" s="8"/>
      <c r="B54" s="8"/>
      <c r="C54" s="8"/>
      <c r="D54" s="8"/>
      <c r="E54" s="9" t="s">
        <v>24</v>
      </c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</row>
    <row r="55" spans="1:171" ht="12" customHeight="1" thickBot="1" x14ac:dyDescent="0.3">
      <c r="F55" s="47"/>
      <c r="G55" s="48" t="s">
        <v>277</v>
      </c>
      <c r="H55" s="47"/>
      <c r="I55" s="47"/>
      <c r="J55" s="47"/>
      <c r="K55" s="47"/>
      <c r="L55" s="47"/>
      <c r="M55" s="47"/>
      <c r="N55" s="47"/>
      <c r="O55" s="47"/>
      <c r="P55" s="47"/>
      <c r="Q55" s="47"/>
      <c r="R55" s="47"/>
      <c r="S55" s="47"/>
      <c r="T55" s="47"/>
      <c r="U55" s="47"/>
      <c r="V55" s="47"/>
      <c r="W55" s="47"/>
      <c r="X55" s="47"/>
      <c r="Y55" s="47"/>
      <c r="Z55" s="47"/>
      <c r="AA55" s="47"/>
      <c r="AB55" s="47"/>
      <c r="AC55" s="47"/>
      <c r="AD55" s="47"/>
      <c r="AE55" s="47"/>
      <c r="AF55" s="47"/>
      <c r="AG55" s="47"/>
      <c r="AH55" s="47"/>
      <c r="AI55" s="47"/>
      <c r="AJ55" s="47"/>
      <c r="AK55" s="47"/>
      <c r="AL55" s="47"/>
      <c r="AM55" s="47"/>
      <c r="AN55" s="47"/>
      <c r="AO55" s="47"/>
      <c r="AP55" s="47"/>
      <c r="AQ55" s="47"/>
      <c r="AR55" s="47"/>
      <c r="AS55" s="47"/>
      <c r="AT55" s="47"/>
      <c r="AU55" s="47"/>
      <c r="AV55" s="47"/>
      <c r="AW55" s="47"/>
      <c r="AX55" s="49"/>
      <c r="AY55" s="11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</row>
    <row r="56" spans="1:171" ht="3.9" customHeight="1" x14ac:dyDescent="0.25">
      <c r="E56" s="9" t="s">
        <v>9</v>
      </c>
      <c r="F56" s="54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Y56" s="11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</row>
    <row r="57" spans="1:171" s="11" customFormat="1" ht="11.1" customHeight="1" x14ac:dyDescent="0.25">
      <c r="A57" s="8"/>
      <c r="B57" s="8"/>
      <c r="C57" s="8"/>
      <c r="D57" s="8"/>
      <c r="E57" s="9"/>
      <c r="F57" s="12"/>
      <c r="G57" s="288" t="s">
        <v>278</v>
      </c>
      <c r="H57" s="289"/>
      <c r="I57" s="289"/>
      <c r="J57" s="289"/>
      <c r="K57" s="289"/>
      <c r="L57" s="289"/>
      <c r="M57" s="289"/>
      <c r="N57" s="289"/>
      <c r="O57" s="289"/>
      <c r="P57" s="289"/>
      <c r="Q57" s="289"/>
      <c r="R57" s="289"/>
      <c r="S57" s="289"/>
      <c r="T57" s="289"/>
      <c r="U57" s="289"/>
      <c r="V57" s="289"/>
      <c r="W57" s="289"/>
      <c r="X57" s="289"/>
      <c r="Y57" s="289"/>
      <c r="Z57" s="289"/>
      <c r="AA57" s="289"/>
      <c r="AB57" s="289"/>
      <c r="AC57" s="289"/>
      <c r="AD57" s="289"/>
      <c r="AE57" s="289"/>
      <c r="AF57" s="289"/>
      <c r="AG57" s="289"/>
      <c r="AH57" s="289"/>
      <c r="AI57" s="289"/>
      <c r="AJ57" s="289"/>
      <c r="AK57" s="289"/>
      <c r="AL57" s="289"/>
      <c r="AM57" s="289"/>
      <c r="AN57" s="289"/>
      <c r="AO57" s="289"/>
      <c r="AP57" s="289"/>
      <c r="AQ57" s="289"/>
      <c r="AR57" s="289"/>
      <c r="AS57" s="289"/>
      <c r="AT57" s="289"/>
      <c r="AU57" s="289"/>
      <c r="AV57" s="289"/>
      <c r="AW57" s="290"/>
      <c r="AX57" s="12"/>
      <c r="AY57" s="12"/>
      <c r="AZ57" s="5"/>
      <c r="BA57" s="5"/>
      <c r="BB57" s="5"/>
      <c r="BC57" s="5"/>
      <c r="BD57" s="5"/>
      <c r="BE57" s="5"/>
      <c r="BF57" s="5"/>
      <c r="BG57" s="5"/>
      <c r="BH57" s="5"/>
      <c r="BI57" s="5"/>
      <c r="BM57" s="5"/>
      <c r="BN57" s="5"/>
      <c r="BO57" s="5"/>
      <c r="BP57" s="5"/>
      <c r="BQ57" s="5"/>
      <c r="BR57" s="5"/>
      <c r="BS57" s="5"/>
      <c r="BT57" s="5"/>
      <c r="EB57" s="12"/>
      <c r="EC57" s="12"/>
      <c r="ED57" s="12"/>
      <c r="EE57" s="12"/>
      <c r="EF57" s="12"/>
      <c r="EG57" s="12"/>
      <c r="EH57" s="12"/>
      <c r="EI57" s="12"/>
      <c r="EJ57" s="12"/>
      <c r="EK57" s="12"/>
      <c r="EL57" s="12"/>
      <c r="EM57" s="12"/>
      <c r="EN57" s="12"/>
      <c r="EO57" s="12"/>
      <c r="EP57" s="12"/>
      <c r="EQ57" s="12"/>
      <c r="ER57" s="12"/>
      <c r="ES57" s="12"/>
      <c r="ET57" s="12"/>
      <c r="EU57" s="12"/>
      <c r="EV57" s="12"/>
      <c r="EW57" s="12"/>
      <c r="EX57" s="12"/>
      <c r="EY57" s="12"/>
      <c r="EZ57" s="12"/>
      <c r="FA57" s="12"/>
      <c r="FB57" s="12"/>
      <c r="FC57" s="12"/>
      <c r="FD57" s="12"/>
      <c r="FE57" s="12"/>
      <c r="FF57" s="12"/>
      <c r="FG57" s="12"/>
      <c r="FH57" s="12"/>
      <c r="FI57" s="12"/>
      <c r="FJ57" s="12"/>
      <c r="FK57" s="12"/>
      <c r="FL57" s="12"/>
      <c r="FM57" s="12"/>
      <c r="FN57" s="12"/>
      <c r="FO57" s="12"/>
    </row>
    <row r="58" spans="1:171" ht="11.1" customHeight="1" x14ac:dyDescent="0.25">
      <c r="A58" s="12"/>
      <c r="B58" s="12"/>
      <c r="C58" s="12"/>
      <c r="D58" s="12"/>
      <c r="E58" s="61"/>
      <c r="F58" s="44"/>
      <c r="G58" s="874"/>
      <c r="H58" s="874"/>
      <c r="I58" s="874"/>
      <c r="J58" s="874"/>
      <c r="K58" s="874"/>
      <c r="L58" s="874"/>
      <c r="M58" s="874"/>
      <c r="N58" s="874"/>
      <c r="O58" s="874"/>
      <c r="P58" s="874"/>
      <c r="Q58" s="874"/>
      <c r="R58" s="874"/>
      <c r="S58" s="874"/>
      <c r="T58" s="874"/>
      <c r="U58" s="874"/>
      <c r="V58" s="874"/>
      <c r="W58" s="874"/>
      <c r="X58" s="874"/>
      <c r="Y58" s="874"/>
      <c r="Z58" s="874"/>
      <c r="AA58" s="874"/>
      <c r="AB58" s="874"/>
      <c r="AC58" s="874"/>
      <c r="AD58" s="874"/>
      <c r="AE58" s="874"/>
      <c r="AF58" s="874"/>
      <c r="AG58" s="874"/>
      <c r="AH58" s="874"/>
      <c r="AI58" s="874"/>
      <c r="AJ58" s="874"/>
      <c r="AK58" s="874"/>
      <c r="AL58" s="874"/>
      <c r="AM58" s="874"/>
      <c r="AN58" s="874"/>
      <c r="AO58" s="874"/>
      <c r="AP58" s="874"/>
      <c r="AQ58" s="874"/>
      <c r="AR58" s="874"/>
      <c r="AS58" s="874"/>
      <c r="AT58" s="874"/>
      <c r="AU58" s="874"/>
      <c r="AV58" s="874"/>
      <c r="AW58" s="874"/>
      <c r="AY58" s="11"/>
      <c r="BA58" s="12"/>
      <c r="BB58" s="12"/>
      <c r="BC58" s="62"/>
      <c r="BD58" s="42"/>
      <c r="BE58" s="12"/>
      <c r="BF58" s="12"/>
      <c r="BG58" s="12"/>
      <c r="BH58" s="12"/>
      <c r="BI58" s="12"/>
      <c r="BM58" s="5"/>
      <c r="BN58" s="5"/>
      <c r="BO58" s="5"/>
      <c r="BP58" s="5"/>
      <c r="BQ58" s="5"/>
      <c r="BR58" s="5"/>
      <c r="BS58" s="5"/>
      <c r="BT58" s="5"/>
      <c r="BU58" s="12"/>
      <c r="DE58" s="12"/>
      <c r="DF58" s="12"/>
      <c r="DG58" s="12"/>
      <c r="DH58" s="12"/>
      <c r="DI58" s="12"/>
      <c r="DW58" s="12"/>
      <c r="DX58" s="12"/>
      <c r="DY58" s="12"/>
      <c r="DZ58" s="12"/>
      <c r="EA58" s="12"/>
    </row>
    <row r="59" spans="1:171" ht="11.1" customHeight="1" x14ac:dyDescent="0.25">
      <c r="A59" s="12"/>
      <c r="B59" s="12"/>
      <c r="C59" s="12"/>
      <c r="D59" s="12"/>
      <c r="E59" s="61"/>
      <c r="F59" s="44"/>
      <c r="G59" s="874"/>
      <c r="H59" s="874"/>
      <c r="I59" s="874"/>
      <c r="J59" s="874"/>
      <c r="K59" s="874"/>
      <c r="L59" s="874"/>
      <c r="M59" s="874"/>
      <c r="N59" s="874"/>
      <c r="O59" s="874"/>
      <c r="P59" s="874"/>
      <c r="Q59" s="874"/>
      <c r="R59" s="874"/>
      <c r="S59" s="874"/>
      <c r="T59" s="874"/>
      <c r="U59" s="874"/>
      <c r="V59" s="874"/>
      <c r="W59" s="874"/>
      <c r="X59" s="874"/>
      <c r="Y59" s="874"/>
      <c r="Z59" s="874"/>
      <c r="AA59" s="874"/>
      <c r="AB59" s="874"/>
      <c r="AC59" s="874"/>
      <c r="AD59" s="874"/>
      <c r="AE59" s="874"/>
      <c r="AF59" s="874"/>
      <c r="AG59" s="874"/>
      <c r="AH59" s="874"/>
      <c r="AI59" s="874"/>
      <c r="AJ59" s="874"/>
      <c r="AK59" s="874"/>
      <c r="AL59" s="874"/>
      <c r="AM59" s="874"/>
      <c r="AN59" s="874"/>
      <c r="AO59" s="874"/>
      <c r="AP59" s="874"/>
      <c r="AQ59" s="874"/>
      <c r="AR59" s="874"/>
      <c r="AS59" s="874"/>
      <c r="AT59" s="874"/>
      <c r="AU59" s="874"/>
      <c r="AV59" s="874"/>
      <c r="AW59" s="874"/>
      <c r="AY59" s="11"/>
      <c r="BA59" s="12"/>
      <c r="BB59" s="12"/>
      <c r="BC59" s="62"/>
      <c r="BD59" s="42"/>
      <c r="BE59" s="12"/>
      <c r="BF59" s="12"/>
      <c r="BG59" s="12"/>
      <c r="BH59" s="12"/>
      <c r="BI59" s="12"/>
      <c r="BM59" s="5"/>
      <c r="BN59" s="5"/>
      <c r="BO59" s="5"/>
      <c r="BP59" s="5"/>
      <c r="BQ59" s="5"/>
      <c r="BR59" s="5"/>
      <c r="BS59" s="5"/>
      <c r="BT59" s="5"/>
      <c r="BU59" s="12"/>
      <c r="DE59" s="12"/>
      <c r="DF59" s="12"/>
      <c r="DG59" s="12"/>
      <c r="DH59" s="12"/>
      <c r="DI59" s="12"/>
      <c r="DW59" s="12"/>
      <c r="DX59" s="12"/>
      <c r="DY59" s="12"/>
      <c r="DZ59" s="12"/>
      <c r="EA59" s="12"/>
    </row>
    <row r="60" spans="1:171" ht="11.1" customHeight="1" x14ac:dyDescent="0.25">
      <c r="A60" s="12"/>
      <c r="B60" s="12"/>
      <c r="C60" s="12"/>
      <c r="D60" s="12"/>
      <c r="E60" s="61"/>
      <c r="F60" s="44"/>
      <c r="G60" s="874"/>
      <c r="H60" s="874"/>
      <c r="I60" s="874"/>
      <c r="J60" s="874"/>
      <c r="K60" s="874"/>
      <c r="L60" s="874"/>
      <c r="M60" s="874"/>
      <c r="N60" s="874"/>
      <c r="O60" s="874"/>
      <c r="P60" s="874"/>
      <c r="Q60" s="874"/>
      <c r="R60" s="874"/>
      <c r="S60" s="874"/>
      <c r="T60" s="874"/>
      <c r="U60" s="874"/>
      <c r="V60" s="874"/>
      <c r="W60" s="874"/>
      <c r="X60" s="874"/>
      <c r="Y60" s="874"/>
      <c r="Z60" s="874"/>
      <c r="AA60" s="874"/>
      <c r="AB60" s="874"/>
      <c r="AC60" s="874"/>
      <c r="AD60" s="874"/>
      <c r="AE60" s="874"/>
      <c r="AF60" s="874"/>
      <c r="AG60" s="874"/>
      <c r="AH60" s="874"/>
      <c r="AI60" s="874"/>
      <c r="AJ60" s="874"/>
      <c r="AK60" s="874"/>
      <c r="AL60" s="874"/>
      <c r="AM60" s="874"/>
      <c r="AN60" s="874"/>
      <c r="AO60" s="874"/>
      <c r="AP60" s="874"/>
      <c r="AQ60" s="874"/>
      <c r="AR60" s="874"/>
      <c r="AS60" s="874"/>
      <c r="AT60" s="874"/>
      <c r="AU60" s="874"/>
      <c r="AV60" s="874"/>
      <c r="AW60" s="874"/>
      <c r="AY60" s="11"/>
      <c r="BA60" s="12"/>
      <c r="BB60" s="12"/>
      <c r="BC60" s="62"/>
      <c r="BD60" s="42"/>
      <c r="BE60" s="12"/>
      <c r="BF60" s="12"/>
      <c r="BG60" s="12"/>
      <c r="BH60" s="12"/>
      <c r="BI60" s="12"/>
      <c r="BM60" s="5"/>
      <c r="BN60" s="5"/>
      <c r="BO60" s="5"/>
      <c r="BU60" s="12"/>
      <c r="BV60" s="12"/>
      <c r="BW60" s="12"/>
      <c r="BX60" s="12"/>
      <c r="BY60" s="12"/>
      <c r="BZ60" s="12"/>
      <c r="CA60" s="12"/>
      <c r="CB60" s="12"/>
      <c r="CC60" s="12"/>
      <c r="CD60" s="12"/>
      <c r="CE60" s="12"/>
      <c r="CF60" s="12"/>
      <c r="CG60" s="12"/>
      <c r="CH60" s="12"/>
      <c r="CI60" s="12"/>
      <c r="CJ60" s="12"/>
      <c r="CK60" s="12"/>
      <c r="CL60" s="12"/>
      <c r="CM60" s="12"/>
      <c r="CN60" s="12"/>
      <c r="CO60" s="12"/>
      <c r="CP60" s="12"/>
      <c r="CQ60" s="12"/>
      <c r="CR60" s="12"/>
      <c r="CS60" s="12"/>
      <c r="CT60" s="12"/>
      <c r="CU60" s="12"/>
      <c r="CV60" s="12"/>
      <c r="CW60" s="12"/>
      <c r="CX60" s="12"/>
      <c r="CY60" s="12"/>
      <c r="CZ60" s="12"/>
      <c r="DA60" s="12"/>
      <c r="DB60" s="12"/>
      <c r="DC60" s="12"/>
      <c r="DD60" s="12"/>
      <c r="DE60" s="12"/>
      <c r="DF60" s="12"/>
      <c r="DG60" s="12"/>
      <c r="DH60" s="12"/>
      <c r="DI60" s="12"/>
      <c r="DJ60" s="12"/>
      <c r="DK60" s="12"/>
      <c r="DL60" s="12"/>
      <c r="DM60" s="12"/>
      <c r="DN60" s="12"/>
      <c r="DO60" s="12"/>
      <c r="DP60" s="12"/>
      <c r="DQ60" s="12"/>
      <c r="DR60" s="12"/>
      <c r="DS60" s="12"/>
      <c r="DT60" s="12"/>
      <c r="DU60" s="12"/>
      <c r="DV60" s="12"/>
      <c r="DW60" s="12"/>
      <c r="DX60" s="12"/>
      <c r="DY60" s="12"/>
      <c r="DZ60" s="12"/>
      <c r="EA60" s="12"/>
    </row>
    <row r="61" spans="1:171" ht="11.1" customHeight="1" x14ac:dyDescent="0.25">
      <c r="A61" s="12"/>
      <c r="B61" s="12"/>
      <c r="C61" s="12"/>
      <c r="D61" s="12"/>
      <c r="E61" s="61"/>
      <c r="F61" s="44"/>
      <c r="G61" s="874"/>
      <c r="H61" s="874"/>
      <c r="I61" s="874"/>
      <c r="J61" s="874"/>
      <c r="K61" s="874"/>
      <c r="L61" s="874"/>
      <c r="M61" s="874"/>
      <c r="N61" s="874"/>
      <c r="O61" s="874"/>
      <c r="P61" s="874"/>
      <c r="Q61" s="874"/>
      <c r="R61" s="874"/>
      <c r="S61" s="874"/>
      <c r="T61" s="874"/>
      <c r="U61" s="874"/>
      <c r="V61" s="874"/>
      <c r="W61" s="874"/>
      <c r="X61" s="874"/>
      <c r="Y61" s="874"/>
      <c r="Z61" s="874"/>
      <c r="AA61" s="874"/>
      <c r="AB61" s="874"/>
      <c r="AC61" s="874"/>
      <c r="AD61" s="874"/>
      <c r="AE61" s="874"/>
      <c r="AF61" s="874"/>
      <c r="AG61" s="874"/>
      <c r="AH61" s="874"/>
      <c r="AI61" s="874"/>
      <c r="AJ61" s="874"/>
      <c r="AK61" s="874"/>
      <c r="AL61" s="874"/>
      <c r="AM61" s="874"/>
      <c r="AN61" s="874"/>
      <c r="AO61" s="874"/>
      <c r="AP61" s="874"/>
      <c r="AQ61" s="874"/>
      <c r="AR61" s="874"/>
      <c r="AS61" s="874"/>
      <c r="AT61" s="874"/>
      <c r="AU61" s="874"/>
      <c r="AV61" s="874"/>
      <c r="AW61" s="874"/>
      <c r="AY61" s="11"/>
      <c r="BA61" s="12"/>
      <c r="BB61" s="12"/>
      <c r="BC61" s="62"/>
      <c r="BD61" s="42"/>
      <c r="BE61" s="12"/>
      <c r="BF61" s="12"/>
      <c r="BG61" s="12"/>
      <c r="BH61" s="12"/>
      <c r="BI61" s="12"/>
      <c r="BM61" s="5"/>
      <c r="BN61" s="5"/>
      <c r="BO61" s="5"/>
      <c r="DL61" s="12"/>
      <c r="DM61" s="12"/>
      <c r="DN61" s="12"/>
      <c r="DO61" s="12"/>
      <c r="DP61" s="12"/>
      <c r="DQ61" s="12"/>
      <c r="DR61" s="12"/>
      <c r="DS61" s="12"/>
      <c r="DT61" s="12"/>
      <c r="DU61" s="12"/>
      <c r="DV61" s="12"/>
      <c r="DW61" s="12"/>
      <c r="DX61" s="12"/>
      <c r="DY61" s="12"/>
      <c r="DZ61" s="12"/>
      <c r="EA61" s="12"/>
    </row>
    <row r="62" spans="1:171" ht="11.1" customHeight="1" x14ac:dyDescent="0.25">
      <c r="A62" s="12"/>
      <c r="B62" s="12"/>
      <c r="C62" s="12"/>
      <c r="D62" s="12"/>
      <c r="E62" s="61"/>
      <c r="F62" s="44"/>
      <c r="G62" s="874"/>
      <c r="H62" s="874"/>
      <c r="I62" s="874"/>
      <c r="J62" s="874"/>
      <c r="K62" s="874"/>
      <c r="L62" s="874"/>
      <c r="M62" s="874"/>
      <c r="N62" s="874"/>
      <c r="O62" s="874"/>
      <c r="P62" s="874"/>
      <c r="Q62" s="874"/>
      <c r="R62" s="874"/>
      <c r="S62" s="874"/>
      <c r="T62" s="874"/>
      <c r="U62" s="874"/>
      <c r="V62" s="874"/>
      <c r="W62" s="874"/>
      <c r="X62" s="874"/>
      <c r="Y62" s="874"/>
      <c r="Z62" s="874"/>
      <c r="AA62" s="874"/>
      <c r="AB62" s="874"/>
      <c r="AC62" s="874"/>
      <c r="AD62" s="874"/>
      <c r="AE62" s="874"/>
      <c r="AF62" s="874"/>
      <c r="AG62" s="874"/>
      <c r="AH62" s="874"/>
      <c r="AI62" s="874"/>
      <c r="AJ62" s="874"/>
      <c r="AK62" s="874"/>
      <c r="AL62" s="874"/>
      <c r="AM62" s="874"/>
      <c r="AN62" s="874"/>
      <c r="AO62" s="874"/>
      <c r="AP62" s="874"/>
      <c r="AQ62" s="874"/>
      <c r="AR62" s="874"/>
      <c r="AS62" s="874"/>
      <c r="AT62" s="874"/>
      <c r="AU62" s="874"/>
      <c r="AV62" s="874"/>
      <c r="AW62" s="874"/>
      <c r="AY62" s="11"/>
      <c r="BA62" s="12"/>
      <c r="BB62" s="12"/>
      <c r="BC62" s="62"/>
      <c r="BD62" s="42"/>
      <c r="BE62" s="12"/>
      <c r="BF62" s="12"/>
      <c r="BG62" s="12"/>
      <c r="BH62" s="12"/>
      <c r="BI62" s="12"/>
      <c r="BM62" s="5"/>
      <c r="BN62" s="5"/>
      <c r="BO62" s="5"/>
      <c r="DL62" s="12"/>
      <c r="DM62" s="12"/>
      <c r="DN62" s="12"/>
      <c r="DO62" s="12"/>
      <c r="DP62" s="12"/>
      <c r="DQ62" s="12"/>
      <c r="DR62" s="12"/>
      <c r="DS62" s="12"/>
      <c r="DT62" s="12"/>
      <c r="DU62" s="12"/>
      <c r="DV62" s="12"/>
      <c r="DW62" s="12"/>
      <c r="DX62" s="12"/>
      <c r="DY62" s="12"/>
      <c r="DZ62" s="12"/>
      <c r="EA62" s="12"/>
    </row>
    <row r="63" spans="1:171" s="11" customFormat="1" ht="3.9" customHeight="1" x14ac:dyDescent="0.25">
      <c r="A63" s="8"/>
      <c r="B63" s="8"/>
      <c r="C63" s="8"/>
      <c r="D63" s="8"/>
      <c r="E63" s="9" t="s">
        <v>9</v>
      </c>
      <c r="F63" s="54"/>
      <c r="AX63" s="12"/>
      <c r="AZ63" s="5"/>
      <c r="BA63" s="5"/>
      <c r="BB63" s="5"/>
      <c r="BC63" s="5"/>
      <c r="BD63" s="5"/>
      <c r="BE63" s="5"/>
      <c r="BF63" s="5"/>
      <c r="BG63" s="5"/>
      <c r="BH63" s="5"/>
      <c r="BI63" s="5"/>
      <c r="BM63" s="5"/>
      <c r="BN63" s="5"/>
      <c r="BO63" s="5"/>
      <c r="CS63" s="5"/>
      <c r="EB63" s="12"/>
      <c r="EC63" s="12"/>
      <c r="ED63" s="12"/>
      <c r="EE63" s="12"/>
      <c r="EF63" s="12"/>
      <c r="EG63" s="12"/>
      <c r="EH63" s="12"/>
      <c r="EI63" s="12"/>
      <c r="EJ63" s="12"/>
      <c r="EK63" s="12"/>
      <c r="EL63" s="12"/>
      <c r="EM63" s="12"/>
      <c r="EN63" s="12"/>
      <c r="EO63" s="12"/>
      <c r="EP63" s="12"/>
      <c r="EQ63" s="12"/>
      <c r="ER63" s="12"/>
      <c r="ES63" s="12"/>
      <c r="ET63" s="12"/>
      <c r="EU63" s="12"/>
      <c r="EV63" s="12"/>
      <c r="EW63" s="12"/>
      <c r="EX63" s="12"/>
      <c r="EY63" s="12"/>
      <c r="EZ63" s="12"/>
      <c r="FA63" s="12"/>
      <c r="FB63" s="12"/>
      <c r="FC63" s="12"/>
      <c r="FD63" s="12"/>
      <c r="FE63" s="12"/>
      <c r="FF63" s="12"/>
      <c r="FG63" s="12"/>
      <c r="FH63" s="12"/>
      <c r="FI63" s="12"/>
      <c r="FJ63" s="12"/>
      <c r="FK63" s="12"/>
      <c r="FL63" s="12"/>
      <c r="FM63" s="12"/>
      <c r="FN63" s="12"/>
      <c r="FO63" s="12"/>
    </row>
    <row r="64" spans="1:171" s="11" customFormat="1" ht="31.95" customHeight="1" x14ac:dyDescent="0.25">
      <c r="A64" s="8"/>
      <c r="B64" s="8"/>
      <c r="C64" s="8"/>
      <c r="D64" s="8"/>
      <c r="E64" s="9"/>
      <c r="F64" s="12"/>
      <c r="G64" s="288" t="s">
        <v>459</v>
      </c>
      <c r="H64" s="289"/>
      <c r="I64" s="289"/>
      <c r="J64" s="289"/>
      <c r="K64" s="289"/>
      <c r="L64" s="289"/>
      <c r="M64" s="289"/>
      <c r="N64" s="289"/>
      <c r="O64" s="289"/>
      <c r="P64" s="289"/>
      <c r="Q64" s="289"/>
      <c r="R64" s="289"/>
      <c r="S64" s="289"/>
      <c r="T64" s="289"/>
      <c r="U64" s="289"/>
      <c r="V64" s="289"/>
      <c r="W64" s="289"/>
      <c r="X64" s="289"/>
      <c r="Y64" s="289"/>
      <c r="Z64" s="289"/>
      <c r="AA64" s="289"/>
      <c r="AB64" s="289"/>
      <c r="AC64" s="289"/>
      <c r="AD64" s="289"/>
      <c r="AE64" s="289"/>
      <c r="AF64" s="289"/>
      <c r="AG64" s="289"/>
      <c r="AH64" s="289"/>
      <c r="AI64" s="289"/>
      <c r="AJ64" s="289"/>
      <c r="AK64" s="289"/>
      <c r="AL64" s="289"/>
      <c r="AM64" s="289"/>
      <c r="AN64" s="289"/>
      <c r="AO64" s="289"/>
      <c r="AP64" s="289"/>
      <c r="AQ64" s="289"/>
      <c r="AR64" s="289"/>
      <c r="AS64" s="289"/>
      <c r="AT64" s="289"/>
      <c r="AU64" s="289"/>
      <c r="AV64" s="289"/>
      <c r="AW64" s="290"/>
      <c r="AX64" s="12"/>
      <c r="AY64" s="12"/>
      <c r="AZ64" s="5"/>
      <c r="BA64" s="5"/>
      <c r="BB64" s="5"/>
      <c r="BC64" s="5"/>
      <c r="BD64" s="5"/>
      <c r="BE64" s="5"/>
      <c r="BF64" s="5"/>
      <c r="BG64" s="5"/>
      <c r="BH64" s="5"/>
      <c r="BI64" s="5"/>
      <c r="BM64" s="5"/>
      <c r="BN64" s="5"/>
      <c r="BO64" s="5"/>
      <c r="BP64" s="5"/>
      <c r="BQ64" s="5"/>
      <c r="BR64" s="5"/>
      <c r="BS64" s="5"/>
      <c r="BT64" s="5"/>
      <c r="EB64" s="12"/>
      <c r="EC64" s="12"/>
      <c r="ED64" s="12"/>
      <c r="EE64" s="12"/>
      <c r="EF64" s="12"/>
      <c r="EG64" s="12"/>
      <c r="EH64" s="12"/>
      <c r="EI64" s="12"/>
      <c r="EJ64" s="12"/>
      <c r="EK64" s="12"/>
      <c r="EL64" s="12"/>
      <c r="EM64" s="12"/>
      <c r="EN64" s="12"/>
      <c r="EO64" s="12"/>
      <c r="EP64" s="12"/>
      <c r="EQ64" s="12"/>
      <c r="ER64" s="12"/>
      <c r="ES64" s="12"/>
      <c r="ET64" s="12"/>
      <c r="EU64" s="12"/>
      <c r="EV64" s="12"/>
      <c r="EW64" s="12"/>
      <c r="EX64" s="12"/>
      <c r="EY64" s="12"/>
      <c r="EZ64" s="12"/>
      <c r="FA64" s="12"/>
      <c r="FB64" s="12"/>
      <c r="FC64" s="12"/>
      <c r="FD64" s="12"/>
      <c r="FE64" s="12"/>
      <c r="FF64" s="12"/>
      <c r="FG64" s="12"/>
      <c r="FH64" s="12"/>
      <c r="FI64" s="12"/>
      <c r="FJ64" s="12"/>
      <c r="FK64" s="12"/>
      <c r="FL64" s="12"/>
      <c r="FM64" s="12"/>
      <c r="FN64" s="12"/>
      <c r="FO64" s="12"/>
    </row>
    <row r="65" spans="1:171" ht="11.1" customHeight="1" x14ac:dyDescent="0.25">
      <c r="A65" s="12"/>
      <c r="B65" s="12"/>
      <c r="C65" s="12"/>
      <c r="D65" s="12"/>
      <c r="E65" s="61"/>
      <c r="F65" s="44"/>
      <c r="G65" s="874"/>
      <c r="H65" s="874"/>
      <c r="I65" s="874"/>
      <c r="J65" s="874"/>
      <c r="K65" s="874"/>
      <c r="L65" s="874"/>
      <c r="M65" s="874"/>
      <c r="N65" s="874"/>
      <c r="O65" s="874"/>
      <c r="P65" s="874"/>
      <c r="Q65" s="874"/>
      <c r="R65" s="874"/>
      <c r="S65" s="874"/>
      <c r="T65" s="874"/>
      <c r="U65" s="874"/>
      <c r="V65" s="874"/>
      <c r="W65" s="874"/>
      <c r="X65" s="874"/>
      <c r="Y65" s="874"/>
      <c r="Z65" s="874"/>
      <c r="AA65" s="874"/>
      <c r="AB65" s="874"/>
      <c r="AC65" s="874"/>
      <c r="AD65" s="874"/>
      <c r="AE65" s="874"/>
      <c r="AF65" s="874"/>
      <c r="AG65" s="874"/>
      <c r="AH65" s="874"/>
      <c r="AI65" s="874"/>
      <c r="AJ65" s="874"/>
      <c r="AK65" s="874"/>
      <c r="AL65" s="874"/>
      <c r="AM65" s="874"/>
      <c r="AN65" s="874"/>
      <c r="AO65" s="874"/>
      <c r="AP65" s="874"/>
      <c r="AQ65" s="874"/>
      <c r="AR65" s="874"/>
      <c r="AS65" s="874"/>
      <c r="AT65" s="874"/>
      <c r="AU65" s="874"/>
      <c r="AV65" s="874"/>
      <c r="AW65" s="874"/>
      <c r="AY65" s="11"/>
      <c r="BA65" s="12"/>
      <c r="BB65" s="12"/>
      <c r="BC65" s="62"/>
      <c r="BD65" s="42"/>
      <c r="BE65" s="12"/>
      <c r="BF65" s="12"/>
      <c r="BG65" s="12"/>
      <c r="BH65" s="12"/>
      <c r="BI65" s="12"/>
      <c r="BM65" s="5"/>
      <c r="BN65" s="5"/>
      <c r="BO65" s="5"/>
      <c r="BP65" s="5"/>
      <c r="BQ65" s="5"/>
      <c r="BR65" s="5"/>
      <c r="BS65" s="5"/>
      <c r="BT65" s="5"/>
      <c r="BU65" s="12"/>
      <c r="DE65" s="12"/>
      <c r="DF65" s="12"/>
      <c r="DG65" s="12"/>
      <c r="DH65" s="12"/>
      <c r="DI65" s="12"/>
      <c r="DW65" s="12"/>
      <c r="DX65" s="12"/>
      <c r="DY65" s="12"/>
      <c r="DZ65" s="12"/>
      <c r="EA65" s="12"/>
    </row>
    <row r="66" spans="1:171" ht="11.1" customHeight="1" x14ac:dyDescent="0.25">
      <c r="A66" s="12"/>
      <c r="B66" s="12"/>
      <c r="C66" s="12"/>
      <c r="D66" s="12"/>
      <c r="E66" s="61"/>
      <c r="F66" s="44"/>
      <c r="G66" s="874"/>
      <c r="H66" s="874"/>
      <c r="I66" s="874"/>
      <c r="J66" s="874"/>
      <c r="K66" s="874"/>
      <c r="L66" s="874"/>
      <c r="M66" s="874"/>
      <c r="N66" s="874"/>
      <c r="O66" s="874"/>
      <c r="P66" s="874"/>
      <c r="Q66" s="874"/>
      <c r="R66" s="874"/>
      <c r="S66" s="874"/>
      <c r="T66" s="874"/>
      <c r="U66" s="874"/>
      <c r="V66" s="874"/>
      <c r="W66" s="874"/>
      <c r="X66" s="874"/>
      <c r="Y66" s="874"/>
      <c r="Z66" s="874"/>
      <c r="AA66" s="874"/>
      <c r="AB66" s="874"/>
      <c r="AC66" s="874"/>
      <c r="AD66" s="874"/>
      <c r="AE66" s="874"/>
      <c r="AF66" s="874"/>
      <c r="AG66" s="874"/>
      <c r="AH66" s="874"/>
      <c r="AI66" s="874"/>
      <c r="AJ66" s="874"/>
      <c r="AK66" s="874"/>
      <c r="AL66" s="874"/>
      <c r="AM66" s="874"/>
      <c r="AN66" s="874"/>
      <c r="AO66" s="874"/>
      <c r="AP66" s="874"/>
      <c r="AQ66" s="874"/>
      <c r="AR66" s="874"/>
      <c r="AS66" s="874"/>
      <c r="AT66" s="874"/>
      <c r="AU66" s="874"/>
      <c r="AV66" s="874"/>
      <c r="AW66" s="874"/>
      <c r="AY66" s="11"/>
      <c r="BA66" s="12"/>
      <c r="BB66" s="12"/>
      <c r="BC66" s="62"/>
      <c r="BD66" s="42"/>
      <c r="BE66" s="12"/>
      <c r="BF66" s="12"/>
      <c r="BG66" s="12"/>
      <c r="BH66" s="12"/>
      <c r="BI66" s="12"/>
      <c r="BM66" s="5"/>
      <c r="BN66" s="5"/>
      <c r="BO66" s="5"/>
      <c r="BP66" s="5"/>
      <c r="BQ66" s="5"/>
      <c r="BR66" s="5"/>
      <c r="BS66" s="5"/>
      <c r="BT66" s="5"/>
      <c r="BU66" s="12"/>
      <c r="DE66" s="12"/>
      <c r="DF66" s="12"/>
      <c r="DG66" s="12"/>
      <c r="DH66" s="12"/>
      <c r="DI66" s="12"/>
      <c r="DW66" s="12"/>
      <c r="DX66" s="12"/>
      <c r="DY66" s="12"/>
      <c r="DZ66" s="12"/>
      <c r="EA66" s="12"/>
    </row>
    <row r="67" spans="1:171" ht="11.1" customHeight="1" x14ac:dyDescent="0.25">
      <c r="A67" s="12"/>
      <c r="B67" s="12"/>
      <c r="C67" s="12"/>
      <c r="D67" s="12"/>
      <c r="E67" s="61"/>
      <c r="F67" s="44"/>
      <c r="G67" s="874"/>
      <c r="H67" s="874"/>
      <c r="I67" s="874"/>
      <c r="J67" s="874"/>
      <c r="K67" s="874"/>
      <c r="L67" s="874"/>
      <c r="M67" s="874"/>
      <c r="N67" s="874"/>
      <c r="O67" s="874"/>
      <c r="P67" s="874"/>
      <c r="Q67" s="874"/>
      <c r="R67" s="874"/>
      <c r="S67" s="874"/>
      <c r="T67" s="874"/>
      <c r="U67" s="874"/>
      <c r="V67" s="874"/>
      <c r="W67" s="874"/>
      <c r="X67" s="874"/>
      <c r="Y67" s="874"/>
      <c r="Z67" s="874"/>
      <c r="AA67" s="874"/>
      <c r="AB67" s="874"/>
      <c r="AC67" s="874"/>
      <c r="AD67" s="874"/>
      <c r="AE67" s="874"/>
      <c r="AF67" s="874"/>
      <c r="AG67" s="874"/>
      <c r="AH67" s="874"/>
      <c r="AI67" s="874"/>
      <c r="AJ67" s="874"/>
      <c r="AK67" s="874"/>
      <c r="AL67" s="874"/>
      <c r="AM67" s="874"/>
      <c r="AN67" s="874"/>
      <c r="AO67" s="874"/>
      <c r="AP67" s="874"/>
      <c r="AQ67" s="874"/>
      <c r="AR67" s="874"/>
      <c r="AS67" s="874"/>
      <c r="AT67" s="874"/>
      <c r="AU67" s="874"/>
      <c r="AV67" s="874"/>
      <c r="AW67" s="874"/>
      <c r="AY67" s="11"/>
      <c r="BA67" s="12"/>
      <c r="BB67" s="12"/>
      <c r="BC67" s="62"/>
      <c r="BD67" s="42"/>
      <c r="BE67" s="12"/>
      <c r="BF67" s="12"/>
      <c r="BG67" s="12"/>
      <c r="BH67" s="12"/>
      <c r="BI67" s="12"/>
      <c r="BM67" s="5"/>
      <c r="BN67" s="5"/>
      <c r="BO67" s="5"/>
      <c r="BP67" s="5"/>
      <c r="BQ67" s="5"/>
      <c r="BR67" s="5"/>
      <c r="BS67" s="5"/>
      <c r="BT67" s="5"/>
      <c r="BU67" s="12"/>
      <c r="DE67" s="12"/>
      <c r="DF67" s="12"/>
      <c r="DG67" s="12"/>
      <c r="DH67" s="12"/>
      <c r="DI67" s="12"/>
      <c r="DW67" s="12"/>
      <c r="DX67" s="12"/>
      <c r="DY67" s="12"/>
      <c r="DZ67" s="12"/>
      <c r="EA67" s="12"/>
    </row>
    <row r="68" spans="1:171" ht="11.1" customHeight="1" x14ac:dyDescent="0.25">
      <c r="A68" s="12"/>
      <c r="B68" s="12"/>
      <c r="C68" s="12"/>
      <c r="D68" s="12"/>
      <c r="E68" s="61"/>
      <c r="F68" s="44"/>
      <c r="G68" s="874"/>
      <c r="H68" s="874"/>
      <c r="I68" s="874"/>
      <c r="J68" s="874"/>
      <c r="K68" s="874"/>
      <c r="L68" s="874"/>
      <c r="M68" s="874"/>
      <c r="N68" s="874"/>
      <c r="O68" s="874"/>
      <c r="P68" s="874"/>
      <c r="Q68" s="874"/>
      <c r="R68" s="874"/>
      <c r="S68" s="874"/>
      <c r="T68" s="874"/>
      <c r="U68" s="874"/>
      <c r="V68" s="874"/>
      <c r="W68" s="874"/>
      <c r="X68" s="874"/>
      <c r="Y68" s="874"/>
      <c r="Z68" s="874"/>
      <c r="AA68" s="874"/>
      <c r="AB68" s="874"/>
      <c r="AC68" s="874"/>
      <c r="AD68" s="874"/>
      <c r="AE68" s="874"/>
      <c r="AF68" s="874"/>
      <c r="AG68" s="874"/>
      <c r="AH68" s="874"/>
      <c r="AI68" s="874"/>
      <c r="AJ68" s="874"/>
      <c r="AK68" s="874"/>
      <c r="AL68" s="874"/>
      <c r="AM68" s="874"/>
      <c r="AN68" s="874"/>
      <c r="AO68" s="874"/>
      <c r="AP68" s="874"/>
      <c r="AQ68" s="874"/>
      <c r="AR68" s="874"/>
      <c r="AS68" s="874"/>
      <c r="AT68" s="874"/>
      <c r="AU68" s="874"/>
      <c r="AV68" s="874"/>
      <c r="AW68" s="874"/>
      <c r="AY68" s="11"/>
      <c r="BA68" s="12"/>
      <c r="BB68" s="12"/>
      <c r="BC68" s="62"/>
      <c r="BD68" s="42"/>
      <c r="BE68" s="12"/>
      <c r="BF68" s="12"/>
      <c r="BG68" s="12"/>
      <c r="BH68" s="12"/>
      <c r="BI68" s="12"/>
      <c r="BM68" s="5"/>
      <c r="BN68" s="5"/>
      <c r="BO68" s="5"/>
      <c r="BU68" s="12"/>
      <c r="BV68" s="12"/>
      <c r="BW68" s="12"/>
      <c r="BX68" s="12"/>
      <c r="BY68" s="12"/>
      <c r="BZ68" s="12"/>
      <c r="CA68" s="12"/>
      <c r="CB68" s="12"/>
      <c r="CC68" s="12"/>
      <c r="CD68" s="12"/>
      <c r="CE68" s="12"/>
      <c r="CF68" s="12"/>
      <c r="CG68" s="12"/>
      <c r="CH68" s="12"/>
      <c r="CI68" s="12"/>
      <c r="CJ68" s="12"/>
      <c r="CK68" s="12"/>
      <c r="CL68" s="12"/>
      <c r="CM68" s="12"/>
      <c r="CN68" s="12"/>
      <c r="CO68" s="12"/>
      <c r="CP68" s="12"/>
      <c r="CQ68" s="12"/>
      <c r="CR68" s="12"/>
      <c r="CS68" s="12"/>
      <c r="CT68" s="12"/>
      <c r="CU68" s="12"/>
      <c r="CV68" s="12"/>
      <c r="CW68" s="12"/>
      <c r="CX68" s="12"/>
      <c r="CY68" s="12"/>
      <c r="CZ68" s="12"/>
      <c r="DA68" s="12"/>
      <c r="DB68" s="12"/>
      <c r="DC68" s="12"/>
      <c r="DD68" s="12"/>
      <c r="DE68" s="12"/>
      <c r="DF68" s="12"/>
      <c r="DG68" s="12"/>
      <c r="DH68" s="12"/>
      <c r="DI68" s="12"/>
      <c r="DJ68" s="12"/>
      <c r="DK68" s="12"/>
      <c r="DL68" s="12"/>
      <c r="DM68" s="12"/>
      <c r="DN68" s="12"/>
      <c r="DO68" s="12"/>
      <c r="DP68" s="12"/>
      <c r="DQ68" s="12"/>
      <c r="DR68" s="12"/>
      <c r="DS68" s="12"/>
      <c r="DT68" s="12"/>
      <c r="DU68" s="12"/>
      <c r="DV68" s="12"/>
      <c r="DW68" s="12"/>
      <c r="DX68" s="12"/>
      <c r="DY68" s="12"/>
      <c r="DZ68" s="12"/>
      <c r="EA68" s="12"/>
    </row>
    <row r="69" spans="1:171" ht="11.1" customHeight="1" x14ac:dyDescent="0.25">
      <c r="A69" s="12"/>
      <c r="B69" s="12"/>
      <c r="C69" s="12"/>
      <c r="D69" s="12"/>
      <c r="E69" s="61"/>
      <c r="F69" s="44"/>
      <c r="G69" s="874"/>
      <c r="H69" s="874"/>
      <c r="I69" s="874"/>
      <c r="J69" s="874"/>
      <c r="K69" s="874"/>
      <c r="L69" s="874"/>
      <c r="M69" s="874"/>
      <c r="N69" s="874"/>
      <c r="O69" s="874"/>
      <c r="P69" s="874"/>
      <c r="Q69" s="874"/>
      <c r="R69" s="874"/>
      <c r="S69" s="874"/>
      <c r="T69" s="874"/>
      <c r="U69" s="874"/>
      <c r="V69" s="874"/>
      <c r="W69" s="874"/>
      <c r="X69" s="874"/>
      <c r="Y69" s="874"/>
      <c r="Z69" s="874"/>
      <c r="AA69" s="874"/>
      <c r="AB69" s="874"/>
      <c r="AC69" s="874"/>
      <c r="AD69" s="874"/>
      <c r="AE69" s="874"/>
      <c r="AF69" s="874"/>
      <c r="AG69" s="874"/>
      <c r="AH69" s="874"/>
      <c r="AI69" s="874"/>
      <c r="AJ69" s="874"/>
      <c r="AK69" s="874"/>
      <c r="AL69" s="874"/>
      <c r="AM69" s="874"/>
      <c r="AN69" s="874"/>
      <c r="AO69" s="874"/>
      <c r="AP69" s="874"/>
      <c r="AQ69" s="874"/>
      <c r="AR69" s="874"/>
      <c r="AS69" s="874"/>
      <c r="AT69" s="874"/>
      <c r="AU69" s="874"/>
      <c r="AV69" s="874"/>
      <c r="AW69" s="874"/>
      <c r="AY69" s="11"/>
      <c r="BA69" s="12"/>
      <c r="BB69" s="12"/>
      <c r="BC69" s="62"/>
      <c r="BD69" s="42"/>
      <c r="BE69" s="12"/>
      <c r="BF69" s="12"/>
      <c r="BG69" s="12"/>
      <c r="BH69" s="12"/>
      <c r="BI69" s="12"/>
      <c r="BM69" s="5"/>
      <c r="BN69" s="5"/>
      <c r="BO69" s="5"/>
      <c r="BP69" s="5"/>
      <c r="BQ69" s="5"/>
      <c r="BR69" s="5"/>
      <c r="BS69" s="5"/>
      <c r="BT69" s="5"/>
      <c r="BU69" s="12"/>
      <c r="DE69" s="12"/>
      <c r="DF69" s="12"/>
      <c r="DG69" s="12"/>
      <c r="DH69" s="12"/>
      <c r="DI69" s="12"/>
      <c r="DW69" s="12"/>
      <c r="DX69" s="12"/>
      <c r="DY69" s="12"/>
      <c r="DZ69" s="12"/>
      <c r="EA69" s="12"/>
    </row>
    <row r="70" spans="1:171" ht="11.1" customHeight="1" x14ac:dyDescent="0.25">
      <c r="A70" s="12"/>
      <c r="B70" s="12"/>
      <c r="C70" s="12"/>
      <c r="D70" s="12"/>
      <c r="E70" s="61"/>
      <c r="F70" s="44"/>
      <c r="G70" s="874"/>
      <c r="H70" s="874"/>
      <c r="I70" s="874"/>
      <c r="J70" s="874"/>
      <c r="K70" s="874"/>
      <c r="L70" s="874"/>
      <c r="M70" s="874"/>
      <c r="N70" s="874"/>
      <c r="O70" s="874"/>
      <c r="P70" s="874"/>
      <c r="Q70" s="874"/>
      <c r="R70" s="874"/>
      <c r="S70" s="874"/>
      <c r="T70" s="874"/>
      <c r="U70" s="874"/>
      <c r="V70" s="874"/>
      <c r="W70" s="874"/>
      <c r="X70" s="874"/>
      <c r="Y70" s="874"/>
      <c r="Z70" s="874"/>
      <c r="AA70" s="874"/>
      <c r="AB70" s="874"/>
      <c r="AC70" s="874"/>
      <c r="AD70" s="874"/>
      <c r="AE70" s="874"/>
      <c r="AF70" s="874"/>
      <c r="AG70" s="874"/>
      <c r="AH70" s="874"/>
      <c r="AI70" s="874"/>
      <c r="AJ70" s="874"/>
      <c r="AK70" s="874"/>
      <c r="AL70" s="874"/>
      <c r="AM70" s="874"/>
      <c r="AN70" s="874"/>
      <c r="AO70" s="874"/>
      <c r="AP70" s="874"/>
      <c r="AQ70" s="874"/>
      <c r="AR70" s="874"/>
      <c r="AS70" s="874"/>
      <c r="AT70" s="874"/>
      <c r="AU70" s="874"/>
      <c r="AV70" s="874"/>
      <c r="AW70" s="874"/>
      <c r="AY70" s="11"/>
      <c r="BA70" s="12"/>
      <c r="BB70" s="12"/>
      <c r="BC70" s="62"/>
      <c r="BD70" s="42"/>
      <c r="BE70" s="12"/>
      <c r="BF70" s="12"/>
      <c r="BG70" s="12"/>
      <c r="BH70" s="12"/>
      <c r="BI70" s="12"/>
      <c r="BM70" s="5"/>
      <c r="BN70" s="5"/>
      <c r="BO70" s="5"/>
      <c r="BP70" s="5"/>
      <c r="BQ70" s="5"/>
      <c r="BR70" s="5"/>
      <c r="BS70" s="5"/>
      <c r="BT70" s="5"/>
      <c r="BU70" s="12"/>
      <c r="DE70" s="12"/>
      <c r="DF70" s="12"/>
      <c r="DG70" s="12"/>
      <c r="DH70" s="12"/>
      <c r="DI70" s="12"/>
      <c r="DW70" s="12"/>
      <c r="DX70" s="12"/>
      <c r="DY70" s="12"/>
      <c r="DZ70" s="12"/>
      <c r="EA70" s="12"/>
    </row>
    <row r="71" spans="1:171" s="11" customFormat="1" ht="3.9" customHeight="1" x14ac:dyDescent="0.25">
      <c r="A71" s="8"/>
      <c r="B71" s="8"/>
      <c r="C71" s="8"/>
      <c r="D71" s="8"/>
      <c r="E71" s="9" t="s">
        <v>9</v>
      </c>
      <c r="F71" s="54"/>
      <c r="AX71" s="12"/>
      <c r="AZ71" s="5"/>
      <c r="BA71" s="5"/>
      <c r="BB71" s="5"/>
      <c r="BC71" s="5"/>
      <c r="BD71" s="5"/>
      <c r="BE71" s="5"/>
      <c r="BF71" s="5"/>
      <c r="BG71" s="5"/>
      <c r="BH71" s="5"/>
      <c r="BI71" s="5"/>
      <c r="BM71" s="5"/>
      <c r="BN71" s="5"/>
      <c r="BO71" s="5"/>
      <c r="CS71" s="5"/>
      <c r="EB71" s="12"/>
      <c r="EC71" s="12"/>
      <c r="ED71" s="12"/>
      <c r="EE71" s="12"/>
      <c r="EF71" s="12"/>
      <c r="EG71" s="12"/>
      <c r="EH71" s="12"/>
      <c r="EI71" s="12"/>
      <c r="EJ71" s="12"/>
      <c r="EK71" s="12"/>
      <c r="EL71" s="12"/>
      <c r="EM71" s="12"/>
      <c r="EN71" s="12"/>
      <c r="EO71" s="12"/>
      <c r="EP71" s="12"/>
      <c r="EQ71" s="12"/>
      <c r="ER71" s="12"/>
      <c r="ES71" s="12"/>
      <c r="ET71" s="12"/>
      <c r="EU71" s="12"/>
      <c r="EV71" s="12"/>
      <c r="EW71" s="12"/>
      <c r="EX71" s="12"/>
      <c r="EY71" s="12"/>
      <c r="EZ71" s="12"/>
      <c r="FA71" s="12"/>
      <c r="FB71" s="12"/>
      <c r="FC71" s="12"/>
      <c r="FD71" s="12"/>
      <c r="FE71" s="12"/>
      <c r="FF71" s="12"/>
      <c r="FG71" s="12"/>
      <c r="FH71" s="12"/>
      <c r="FI71" s="12"/>
      <c r="FJ71" s="12"/>
      <c r="FK71" s="12"/>
      <c r="FL71" s="12"/>
      <c r="FM71" s="12"/>
      <c r="FN71" s="12"/>
      <c r="FO71" s="12"/>
    </row>
    <row r="72" spans="1:171" s="11" customFormat="1" ht="11.1" customHeight="1" x14ac:dyDescent="0.25">
      <c r="A72" s="8"/>
      <c r="B72" s="8"/>
      <c r="C72" s="8"/>
      <c r="D72" s="8"/>
      <c r="E72" s="9"/>
      <c r="F72" s="111"/>
      <c r="G72" s="212" t="s">
        <v>284</v>
      </c>
      <c r="H72" s="213"/>
      <c r="I72" s="213"/>
      <c r="J72" s="213"/>
      <c r="K72" s="213"/>
      <c r="L72" s="213"/>
      <c r="M72" s="213"/>
      <c r="N72" s="213"/>
      <c r="O72" s="213"/>
      <c r="P72" s="213"/>
      <c r="Q72" s="213"/>
      <c r="R72" s="213"/>
      <c r="S72" s="213"/>
      <c r="T72" s="213"/>
      <c r="U72" s="213"/>
      <c r="V72" s="213"/>
      <c r="W72" s="213"/>
      <c r="X72" s="213"/>
      <c r="Y72" s="213"/>
      <c r="Z72" s="213"/>
      <c r="AA72" s="213"/>
      <c r="AB72" s="213"/>
      <c r="AC72" s="213"/>
      <c r="AD72" s="213"/>
      <c r="AE72" s="213"/>
      <c r="AF72" s="213"/>
      <c r="AG72" s="213"/>
      <c r="AH72" s="213"/>
      <c r="AI72" s="213"/>
      <c r="AJ72" s="213"/>
      <c r="AK72" s="213"/>
      <c r="AL72" s="213"/>
      <c r="AM72" s="213"/>
      <c r="AN72" s="213"/>
      <c r="AO72" s="213"/>
      <c r="AP72" s="213"/>
      <c r="AQ72" s="213"/>
      <c r="AR72" s="213"/>
      <c r="AS72" s="213"/>
      <c r="AT72" s="213"/>
      <c r="AU72" s="213"/>
      <c r="AV72" s="213"/>
      <c r="AW72" s="214"/>
      <c r="AX72" s="12"/>
      <c r="AZ72" s="5"/>
      <c r="BA72" s="5"/>
      <c r="BB72" s="5"/>
      <c r="BC72" s="5"/>
      <c r="BD72" s="5"/>
      <c r="BE72" s="5"/>
      <c r="BF72" s="5"/>
      <c r="BG72" s="5"/>
      <c r="BH72" s="5"/>
      <c r="BI72" s="5"/>
      <c r="BM72" s="5"/>
      <c r="BN72" s="5"/>
      <c r="BO72" s="5"/>
      <c r="CS72" s="5"/>
      <c r="EB72" s="12"/>
      <c r="EC72" s="12"/>
      <c r="ED72" s="12"/>
      <c r="EE72" s="12"/>
      <c r="EF72" s="12"/>
      <c r="EG72" s="12"/>
      <c r="EH72" s="12"/>
      <c r="EI72" s="12"/>
      <c r="EJ72" s="12"/>
      <c r="EK72" s="12"/>
      <c r="EL72" s="12"/>
      <c r="EM72" s="12"/>
      <c r="EN72" s="12"/>
      <c r="EO72" s="12"/>
      <c r="EP72" s="12"/>
      <c r="EQ72" s="12"/>
      <c r="ER72" s="12"/>
      <c r="ES72" s="12"/>
      <c r="ET72" s="12"/>
      <c r="EU72" s="12"/>
      <c r="EV72" s="12"/>
      <c r="EW72" s="12"/>
      <c r="EX72" s="12"/>
      <c r="EY72" s="12"/>
      <c r="EZ72" s="12"/>
      <c r="FA72" s="12"/>
      <c r="FB72" s="12"/>
      <c r="FC72" s="12"/>
      <c r="FD72" s="12"/>
      <c r="FE72" s="12"/>
      <c r="FF72" s="12"/>
      <c r="FG72" s="12"/>
      <c r="FH72" s="12"/>
      <c r="FI72" s="12"/>
      <c r="FJ72" s="12"/>
      <c r="FK72" s="12"/>
      <c r="FL72" s="12"/>
      <c r="FM72" s="12"/>
      <c r="FN72" s="12"/>
      <c r="FO72" s="12"/>
    </row>
    <row r="73" spans="1:171" s="11" customFormat="1" ht="11.1" customHeight="1" x14ac:dyDescent="0.25">
      <c r="A73" s="8"/>
      <c r="B73" s="8"/>
      <c r="C73" s="8"/>
      <c r="D73" s="8"/>
      <c r="E73" s="9"/>
      <c r="F73" s="54"/>
      <c r="G73" s="874"/>
      <c r="H73" s="874"/>
      <c r="I73" s="874"/>
      <c r="J73" s="874"/>
      <c r="K73" s="874"/>
      <c r="L73" s="874"/>
      <c r="M73" s="874"/>
      <c r="N73" s="874"/>
      <c r="O73" s="874"/>
      <c r="P73" s="874"/>
      <c r="Q73" s="874"/>
      <c r="R73" s="874"/>
      <c r="S73" s="874"/>
      <c r="T73" s="874"/>
      <c r="U73" s="874"/>
      <c r="V73" s="874"/>
      <c r="W73" s="874"/>
      <c r="X73" s="874"/>
      <c r="Y73" s="874"/>
      <c r="Z73" s="874"/>
      <c r="AA73" s="874"/>
      <c r="AB73" s="874"/>
      <c r="AC73" s="874"/>
      <c r="AD73" s="874"/>
      <c r="AE73" s="874"/>
      <c r="AF73" s="874"/>
      <c r="AG73" s="874"/>
      <c r="AH73" s="874"/>
      <c r="AI73" s="874"/>
      <c r="AJ73" s="874"/>
      <c r="AK73" s="874"/>
      <c r="AL73" s="874"/>
      <c r="AM73" s="874"/>
      <c r="AN73" s="874"/>
      <c r="AO73" s="874"/>
      <c r="AP73" s="874"/>
      <c r="AQ73" s="874"/>
      <c r="AR73" s="874"/>
      <c r="AS73" s="874"/>
      <c r="AT73" s="874"/>
      <c r="AU73" s="874"/>
      <c r="AV73" s="874"/>
      <c r="AW73" s="874"/>
      <c r="AX73" s="12"/>
      <c r="AZ73" s="5"/>
      <c r="BA73" s="5"/>
      <c r="BB73" s="5"/>
      <c r="BC73" s="5"/>
      <c r="BD73" s="5"/>
      <c r="BE73" s="5"/>
      <c r="BF73" s="5"/>
      <c r="BG73" s="5"/>
      <c r="BH73" s="5"/>
      <c r="BI73" s="5"/>
      <c r="BM73" s="5"/>
      <c r="BN73" s="5"/>
      <c r="BO73" s="5"/>
      <c r="CS73" s="5"/>
      <c r="EB73" s="12"/>
      <c r="EC73" s="12"/>
      <c r="ED73" s="12"/>
      <c r="EE73" s="12"/>
      <c r="EF73" s="12"/>
      <c r="EG73" s="12"/>
      <c r="EH73" s="12"/>
      <c r="EI73" s="12"/>
      <c r="EJ73" s="12"/>
      <c r="EK73" s="12"/>
      <c r="EL73" s="12"/>
      <c r="EM73" s="12"/>
      <c r="EN73" s="12"/>
      <c r="EO73" s="12"/>
      <c r="EP73" s="12"/>
      <c r="EQ73" s="12"/>
      <c r="ER73" s="12"/>
      <c r="ES73" s="12"/>
      <c r="ET73" s="12"/>
      <c r="EU73" s="12"/>
      <c r="EV73" s="12"/>
      <c r="EW73" s="12"/>
      <c r="EX73" s="12"/>
      <c r="EY73" s="12"/>
      <c r="EZ73" s="12"/>
      <c r="FA73" s="12"/>
      <c r="FB73" s="12"/>
      <c r="FC73" s="12"/>
      <c r="FD73" s="12"/>
      <c r="FE73" s="12"/>
      <c r="FF73" s="12"/>
      <c r="FG73" s="12"/>
      <c r="FH73" s="12"/>
      <c r="FI73" s="12"/>
      <c r="FJ73" s="12"/>
      <c r="FK73" s="12"/>
      <c r="FL73" s="12"/>
      <c r="FM73" s="12"/>
      <c r="FN73" s="12"/>
      <c r="FO73" s="12"/>
    </row>
    <row r="74" spans="1:171" s="11" customFormat="1" ht="11.1" customHeight="1" x14ac:dyDescent="0.25">
      <c r="A74" s="8"/>
      <c r="B74" s="8"/>
      <c r="C74" s="8"/>
      <c r="D74" s="8"/>
      <c r="E74" s="9"/>
      <c r="F74" s="54"/>
      <c r="G74" s="874"/>
      <c r="H74" s="874"/>
      <c r="I74" s="874"/>
      <c r="J74" s="874"/>
      <c r="K74" s="874"/>
      <c r="L74" s="874"/>
      <c r="M74" s="874"/>
      <c r="N74" s="874"/>
      <c r="O74" s="874"/>
      <c r="P74" s="874"/>
      <c r="Q74" s="874"/>
      <c r="R74" s="874"/>
      <c r="S74" s="874"/>
      <c r="T74" s="874"/>
      <c r="U74" s="874"/>
      <c r="V74" s="874"/>
      <c r="W74" s="874"/>
      <c r="X74" s="874"/>
      <c r="Y74" s="874"/>
      <c r="Z74" s="874"/>
      <c r="AA74" s="874"/>
      <c r="AB74" s="874"/>
      <c r="AC74" s="874"/>
      <c r="AD74" s="874"/>
      <c r="AE74" s="874"/>
      <c r="AF74" s="874"/>
      <c r="AG74" s="874"/>
      <c r="AH74" s="874"/>
      <c r="AI74" s="874"/>
      <c r="AJ74" s="874"/>
      <c r="AK74" s="874"/>
      <c r="AL74" s="874"/>
      <c r="AM74" s="874"/>
      <c r="AN74" s="874"/>
      <c r="AO74" s="874"/>
      <c r="AP74" s="874"/>
      <c r="AQ74" s="874"/>
      <c r="AR74" s="874"/>
      <c r="AS74" s="874"/>
      <c r="AT74" s="874"/>
      <c r="AU74" s="874"/>
      <c r="AV74" s="874"/>
      <c r="AW74" s="874"/>
      <c r="AX74" s="12"/>
      <c r="AZ74" s="5"/>
      <c r="BA74" s="5"/>
      <c r="BB74" s="5"/>
      <c r="BC74" s="5"/>
      <c r="BD74" s="5"/>
      <c r="BE74" s="5"/>
      <c r="BF74" s="5"/>
      <c r="BG74" s="5"/>
      <c r="BH74" s="5"/>
      <c r="BI74" s="5"/>
      <c r="BM74" s="5"/>
      <c r="BN74" s="5"/>
      <c r="BO74" s="5"/>
      <c r="CS74" s="5"/>
      <c r="EB74" s="12"/>
      <c r="EC74" s="12"/>
      <c r="ED74" s="12"/>
      <c r="EE74" s="12"/>
      <c r="EF74" s="12"/>
      <c r="EG74" s="12"/>
      <c r="EH74" s="12"/>
      <c r="EI74" s="12"/>
      <c r="EJ74" s="12"/>
      <c r="EK74" s="12"/>
      <c r="EL74" s="12"/>
      <c r="EM74" s="12"/>
      <c r="EN74" s="12"/>
      <c r="EO74" s="12"/>
      <c r="EP74" s="12"/>
      <c r="EQ74" s="12"/>
      <c r="ER74" s="12"/>
      <c r="ES74" s="12"/>
      <c r="ET74" s="12"/>
      <c r="EU74" s="12"/>
      <c r="EV74" s="12"/>
      <c r="EW74" s="12"/>
      <c r="EX74" s="12"/>
      <c r="EY74" s="12"/>
      <c r="EZ74" s="12"/>
      <c r="FA74" s="12"/>
      <c r="FB74" s="12"/>
      <c r="FC74" s="12"/>
      <c r="FD74" s="12"/>
      <c r="FE74" s="12"/>
      <c r="FF74" s="12"/>
      <c r="FG74" s="12"/>
      <c r="FH74" s="12"/>
      <c r="FI74" s="12"/>
      <c r="FJ74" s="12"/>
      <c r="FK74" s="12"/>
      <c r="FL74" s="12"/>
      <c r="FM74" s="12"/>
      <c r="FN74" s="12"/>
      <c r="FO74" s="12"/>
    </row>
    <row r="75" spans="1:171" s="11" customFormat="1" ht="11.1" customHeight="1" x14ac:dyDescent="0.25">
      <c r="A75" s="8"/>
      <c r="B75" s="8"/>
      <c r="C75" s="8"/>
      <c r="D75" s="8"/>
      <c r="E75" s="9"/>
      <c r="F75" s="54"/>
      <c r="G75" s="874"/>
      <c r="H75" s="874"/>
      <c r="I75" s="874"/>
      <c r="J75" s="874"/>
      <c r="K75" s="874"/>
      <c r="L75" s="874"/>
      <c r="M75" s="874"/>
      <c r="N75" s="874"/>
      <c r="O75" s="874"/>
      <c r="P75" s="874"/>
      <c r="Q75" s="874"/>
      <c r="R75" s="874"/>
      <c r="S75" s="874"/>
      <c r="T75" s="874"/>
      <c r="U75" s="874"/>
      <c r="V75" s="874"/>
      <c r="W75" s="874"/>
      <c r="X75" s="874"/>
      <c r="Y75" s="874"/>
      <c r="Z75" s="874"/>
      <c r="AA75" s="874"/>
      <c r="AB75" s="874"/>
      <c r="AC75" s="874"/>
      <c r="AD75" s="874"/>
      <c r="AE75" s="874"/>
      <c r="AF75" s="874"/>
      <c r="AG75" s="874"/>
      <c r="AH75" s="874"/>
      <c r="AI75" s="874"/>
      <c r="AJ75" s="874"/>
      <c r="AK75" s="874"/>
      <c r="AL75" s="874"/>
      <c r="AM75" s="874"/>
      <c r="AN75" s="874"/>
      <c r="AO75" s="874"/>
      <c r="AP75" s="874"/>
      <c r="AQ75" s="874"/>
      <c r="AR75" s="874"/>
      <c r="AS75" s="874"/>
      <c r="AT75" s="874"/>
      <c r="AU75" s="874"/>
      <c r="AV75" s="874"/>
      <c r="AW75" s="874"/>
      <c r="AX75" s="12"/>
      <c r="AZ75" s="5"/>
      <c r="BA75" s="5"/>
      <c r="BB75" s="5"/>
      <c r="BC75" s="5"/>
      <c r="BD75" s="5"/>
      <c r="BE75" s="5"/>
      <c r="BF75" s="5"/>
      <c r="BG75" s="5"/>
      <c r="BH75" s="5"/>
      <c r="BI75" s="5"/>
      <c r="BM75" s="5"/>
      <c r="BN75" s="5"/>
      <c r="BO75" s="5"/>
      <c r="CS75" s="5"/>
      <c r="EB75" s="12"/>
      <c r="EC75" s="12"/>
      <c r="ED75" s="12"/>
      <c r="EE75" s="12"/>
      <c r="EF75" s="12"/>
      <c r="EG75" s="12"/>
      <c r="EH75" s="12"/>
      <c r="EI75" s="12"/>
      <c r="EJ75" s="12"/>
      <c r="EK75" s="12"/>
      <c r="EL75" s="12"/>
      <c r="EM75" s="12"/>
      <c r="EN75" s="12"/>
      <c r="EO75" s="12"/>
      <c r="EP75" s="12"/>
      <c r="EQ75" s="12"/>
      <c r="ER75" s="12"/>
      <c r="ES75" s="12"/>
      <c r="ET75" s="12"/>
      <c r="EU75" s="12"/>
      <c r="EV75" s="12"/>
      <c r="EW75" s="12"/>
      <c r="EX75" s="12"/>
      <c r="EY75" s="12"/>
      <c r="EZ75" s="12"/>
      <c r="FA75" s="12"/>
      <c r="FB75" s="12"/>
      <c r="FC75" s="12"/>
      <c r="FD75" s="12"/>
      <c r="FE75" s="12"/>
      <c r="FF75" s="12"/>
      <c r="FG75" s="12"/>
      <c r="FH75" s="12"/>
      <c r="FI75" s="12"/>
      <c r="FJ75" s="12"/>
      <c r="FK75" s="12"/>
      <c r="FL75" s="12"/>
      <c r="FM75" s="12"/>
      <c r="FN75" s="12"/>
      <c r="FO75" s="12"/>
    </row>
    <row r="76" spans="1:171" s="11" customFormat="1" ht="11.1" customHeight="1" x14ac:dyDescent="0.25">
      <c r="A76" s="8"/>
      <c r="B76" s="8"/>
      <c r="C76" s="8"/>
      <c r="D76" s="8"/>
      <c r="E76" s="9"/>
      <c r="F76" s="54"/>
      <c r="G76" s="874"/>
      <c r="H76" s="874"/>
      <c r="I76" s="874"/>
      <c r="J76" s="874"/>
      <c r="K76" s="874"/>
      <c r="L76" s="874"/>
      <c r="M76" s="874"/>
      <c r="N76" s="874"/>
      <c r="O76" s="874"/>
      <c r="P76" s="874"/>
      <c r="Q76" s="874"/>
      <c r="R76" s="874"/>
      <c r="S76" s="874"/>
      <c r="T76" s="874"/>
      <c r="U76" s="874"/>
      <c r="V76" s="874"/>
      <c r="W76" s="874"/>
      <c r="X76" s="874"/>
      <c r="Y76" s="874"/>
      <c r="Z76" s="874"/>
      <c r="AA76" s="874"/>
      <c r="AB76" s="874"/>
      <c r="AC76" s="874"/>
      <c r="AD76" s="874"/>
      <c r="AE76" s="874"/>
      <c r="AF76" s="874"/>
      <c r="AG76" s="874"/>
      <c r="AH76" s="874"/>
      <c r="AI76" s="874"/>
      <c r="AJ76" s="874"/>
      <c r="AK76" s="874"/>
      <c r="AL76" s="874"/>
      <c r="AM76" s="874"/>
      <c r="AN76" s="874"/>
      <c r="AO76" s="874"/>
      <c r="AP76" s="874"/>
      <c r="AQ76" s="874"/>
      <c r="AR76" s="874"/>
      <c r="AS76" s="874"/>
      <c r="AT76" s="874"/>
      <c r="AU76" s="874"/>
      <c r="AV76" s="874"/>
      <c r="AW76" s="874"/>
      <c r="AX76" s="12"/>
      <c r="AZ76" s="5"/>
      <c r="BA76" s="5"/>
      <c r="BB76" s="5"/>
      <c r="BC76" s="5"/>
      <c r="BD76" s="5"/>
      <c r="BE76" s="5"/>
      <c r="BF76" s="5"/>
      <c r="BG76" s="5"/>
      <c r="BH76" s="5"/>
      <c r="BI76" s="5"/>
      <c r="BM76" s="5"/>
      <c r="BN76" s="5"/>
      <c r="BO76" s="5"/>
      <c r="CS76" s="5"/>
      <c r="EB76" s="12"/>
      <c r="EC76" s="12"/>
      <c r="ED76" s="12"/>
      <c r="EE76" s="12"/>
      <c r="EF76" s="12"/>
      <c r="EG76" s="12"/>
      <c r="EH76" s="12"/>
      <c r="EI76" s="12"/>
      <c r="EJ76" s="12"/>
      <c r="EK76" s="12"/>
      <c r="EL76" s="12"/>
      <c r="EM76" s="12"/>
      <c r="EN76" s="12"/>
      <c r="EO76" s="12"/>
      <c r="EP76" s="12"/>
      <c r="EQ76" s="12"/>
      <c r="ER76" s="12"/>
      <c r="ES76" s="12"/>
      <c r="ET76" s="12"/>
      <c r="EU76" s="12"/>
      <c r="EV76" s="12"/>
      <c r="EW76" s="12"/>
      <c r="EX76" s="12"/>
      <c r="EY76" s="12"/>
      <c r="EZ76" s="12"/>
      <c r="FA76" s="12"/>
      <c r="FB76" s="12"/>
      <c r="FC76" s="12"/>
      <c r="FD76" s="12"/>
      <c r="FE76" s="12"/>
      <c r="FF76" s="12"/>
      <c r="FG76" s="12"/>
      <c r="FH76" s="12"/>
      <c r="FI76" s="12"/>
      <c r="FJ76" s="12"/>
      <c r="FK76" s="12"/>
      <c r="FL76" s="12"/>
      <c r="FM76" s="12"/>
      <c r="FN76" s="12"/>
      <c r="FO76" s="12"/>
    </row>
    <row r="77" spans="1:171" ht="12" customHeight="1" x14ac:dyDescent="0.25">
      <c r="D77" s="5"/>
      <c r="E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EB77" s="11"/>
      <c r="EC77" s="11"/>
      <c r="ED77" s="11"/>
      <c r="EE77" s="11"/>
      <c r="EF77" s="11"/>
      <c r="EG77" s="11"/>
      <c r="EH77" s="11"/>
      <c r="EI77" s="11"/>
      <c r="EJ77" s="11"/>
      <c r="EK77" s="11"/>
      <c r="EL77" s="11"/>
      <c r="EM77" s="11"/>
      <c r="EN77" s="11"/>
      <c r="EO77" s="11"/>
      <c r="EP77" s="11"/>
      <c r="EQ77" s="11"/>
      <c r="ER77" s="11"/>
      <c r="ES77" s="11"/>
      <c r="ET77" s="11"/>
      <c r="EU77" s="11"/>
      <c r="EV77" s="11"/>
      <c r="EW77" s="11"/>
      <c r="EX77" s="11"/>
      <c r="EY77" s="11"/>
      <c r="EZ77" s="11"/>
      <c r="FA77" s="11"/>
      <c r="FB77" s="11"/>
      <c r="FC77" s="11"/>
    </row>
    <row r="78" spans="1:171" ht="12.9" customHeight="1" x14ac:dyDescent="0.25"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Q78" s="11"/>
      <c r="ER78" s="11"/>
      <c r="ES78" s="11"/>
      <c r="ET78" s="11"/>
      <c r="EU78" s="11"/>
      <c r="EV78" s="11"/>
      <c r="EW78" s="11"/>
      <c r="EX78" s="11"/>
      <c r="EY78" s="11"/>
      <c r="EZ78" s="11"/>
      <c r="FA78" s="11"/>
      <c r="FB78" s="11"/>
      <c r="FC78" s="11"/>
    </row>
    <row r="79" spans="1:171" ht="12" customHeight="1" x14ac:dyDescent="0.25">
      <c r="D79" s="5"/>
      <c r="E79" s="5"/>
      <c r="H79" s="594"/>
      <c r="I79" s="594"/>
      <c r="J79" s="594"/>
      <c r="K79" s="594"/>
      <c r="L79" s="594"/>
      <c r="M79" s="594"/>
      <c r="N79" s="594"/>
      <c r="O79" s="594"/>
      <c r="P79" s="594"/>
      <c r="Q79" s="594"/>
      <c r="R79" s="594"/>
      <c r="S79" s="594"/>
      <c r="T79" s="594"/>
      <c r="U79" s="594"/>
      <c r="V79" s="594"/>
      <c r="W79" s="594"/>
      <c r="X79" s="594"/>
      <c r="Y79" s="594"/>
      <c r="Z79" s="594"/>
      <c r="AE79" s="57" t="s">
        <v>66</v>
      </c>
      <c r="AF79" s="641" t="s">
        <v>208</v>
      </c>
      <c r="AG79" s="641"/>
      <c r="AH79" s="641"/>
      <c r="AI79" s="641"/>
      <c r="AJ79" s="641"/>
      <c r="AK79" s="641"/>
      <c r="AL79" s="641"/>
      <c r="AM79" s="641"/>
      <c r="AN79" s="641"/>
      <c r="AO79" s="641"/>
      <c r="AP79" s="641"/>
      <c r="AQ79" s="641"/>
      <c r="AR79" s="641"/>
      <c r="AS79" s="641"/>
      <c r="AT79" s="641"/>
      <c r="AU79" s="641"/>
      <c r="AV79" s="641"/>
      <c r="AW79" s="283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11"/>
      <c r="EC79" s="11"/>
      <c r="ED79" s="11"/>
      <c r="EE79" s="11"/>
      <c r="EF79" s="11"/>
      <c r="EG79" s="11"/>
      <c r="EH79" s="11"/>
      <c r="EI79" s="11"/>
      <c r="EJ79" s="11"/>
      <c r="EK79" s="11"/>
      <c r="EL79" s="11"/>
      <c r="EM79" s="11"/>
      <c r="EN79" s="11"/>
      <c r="EO79" s="11"/>
      <c r="EP79" s="11"/>
      <c r="EQ79" s="11"/>
      <c r="ER79" s="11"/>
      <c r="ES79" s="11"/>
      <c r="ET79" s="11"/>
      <c r="EU79" s="11"/>
      <c r="EV79" s="11"/>
      <c r="EW79" s="11"/>
      <c r="EX79" s="11"/>
      <c r="EY79" s="11"/>
      <c r="EZ79" s="11"/>
      <c r="FA79" s="11"/>
      <c r="FB79" s="11"/>
      <c r="FC79" s="11"/>
    </row>
    <row r="80" spans="1:171" ht="12" customHeight="1" x14ac:dyDescent="0.25">
      <c r="D80" s="5"/>
      <c r="E80" s="5"/>
      <c r="H80" s="58" t="s">
        <v>18</v>
      </c>
      <c r="I80" s="598" t="s">
        <v>19</v>
      </c>
      <c r="J80" s="598"/>
      <c r="K80" s="598"/>
      <c r="L80" s="598"/>
      <c r="M80" s="598"/>
      <c r="N80" s="598"/>
      <c r="O80" s="598"/>
      <c r="P80" s="598"/>
      <c r="Q80" s="598"/>
      <c r="R80" s="598"/>
      <c r="S80" s="598"/>
      <c r="T80" s="598"/>
      <c r="U80" s="598"/>
      <c r="V80" s="598"/>
      <c r="W80" s="598"/>
      <c r="X80" s="598"/>
      <c r="Y80" s="598"/>
      <c r="Z80" s="599"/>
      <c r="AE80" s="9" t="s">
        <v>20</v>
      </c>
      <c r="AF80" s="593">
        <f>G41</f>
        <v>0</v>
      </c>
      <c r="AG80" s="593"/>
      <c r="AH80" s="593"/>
      <c r="AI80" s="593"/>
      <c r="AJ80" s="593"/>
      <c r="AK80" s="593"/>
      <c r="AL80" s="593"/>
      <c r="AM80" s="593"/>
      <c r="AN80" s="593"/>
      <c r="AO80" s="593"/>
      <c r="AP80" s="593"/>
      <c r="AQ80" s="593"/>
      <c r="AR80" s="593"/>
      <c r="AS80" s="593"/>
      <c r="AT80" s="593"/>
      <c r="AU80" s="593"/>
      <c r="AV80" s="593"/>
      <c r="AW80" s="593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11"/>
      <c r="EC80" s="11"/>
      <c r="ED80" s="11"/>
      <c r="EE80" s="11"/>
      <c r="EF80" s="11"/>
      <c r="EG80" s="11"/>
      <c r="EH80" s="11"/>
      <c r="EI80" s="11"/>
      <c r="EJ80" s="11"/>
      <c r="EK80" s="11"/>
      <c r="EL80" s="11"/>
      <c r="EM80" s="11"/>
      <c r="EN80" s="11"/>
      <c r="EO80" s="11"/>
      <c r="EP80" s="11"/>
      <c r="EQ80" s="11"/>
      <c r="ER80" s="11"/>
      <c r="ES80" s="11"/>
      <c r="ET80" s="11"/>
      <c r="EU80" s="11"/>
      <c r="EV80" s="11"/>
      <c r="EW80" s="11"/>
      <c r="EX80" s="11"/>
      <c r="EY80" s="11"/>
      <c r="EZ80" s="11"/>
      <c r="FA80" s="11"/>
      <c r="FB80" s="11"/>
      <c r="FC80" s="11"/>
    </row>
    <row r="81" spans="1:171" ht="12" customHeight="1" x14ac:dyDescent="0.25">
      <c r="D81" s="5"/>
      <c r="E81" s="5"/>
      <c r="AE81" s="9" t="s">
        <v>21</v>
      </c>
      <c r="AF81" s="314">
        <f>AK41</f>
        <v>0</v>
      </c>
      <c r="AG81" s="314"/>
      <c r="AH81" s="314"/>
      <c r="AI81" s="314"/>
      <c r="AJ81" s="314"/>
      <c r="AK81" s="314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11"/>
      <c r="EC81" s="11"/>
      <c r="ED81" s="11"/>
      <c r="EE81" s="11"/>
      <c r="EF81" s="11"/>
      <c r="EG81" s="11"/>
      <c r="EH81" s="11"/>
      <c r="EI81" s="11"/>
      <c r="EJ81" s="11"/>
      <c r="EK81" s="11"/>
      <c r="EL81" s="11"/>
      <c r="EM81" s="11"/>
      <c r="EN81" s="11"/>
      <c r="EO81" s="11"/>
      <c r="EP81" s="11"/>
      <c r="EQ81" s="11"/>
      <c r="ER81" s="11"/>
      <c r="ES81" s="11"/>
      <c r="ET81" s="11"/>
      <c r="EU81" s="11"/>
      <c r="EV81" s="11"/>
      <c r="EW81" s="11"/>
      <c r="EX81" s="11"/>
      <c r="EY81" s="11"/>
      <c r="EZ81" s="11"/>
      <c r="FA81" s="11"/>
      <c r="FB81" s="11"/>
      <c r="FC81" s="11"/>
    </row>
    <row r="82" spans="1:171" ht="6" customHeight="1" x14ac:dyDescent="0.25">
      <c r="D82" s="5"/>
      <c r="E82" s="5"/>
      <c r="G82" s="54"/>
      <c r="EB82" s="11"/>
      <c r="EC82" s="11"/>
      <c r="ED82" s="11"/>
      <c r="EE82" s="11"/>
      <c r="EF82" s="11"/>
      <c r="EG82" s="11"/>
      <c r="EH82" s="11"/>
      <c r="EI82" s="11"/>
      <c r="EJ82" s="11"/>
      <c r="EK82" s="11"/>
      <c r="EL82" s="11"/>
      <c r="EM82" s="11"/>
      <c r="EN82" s="11"/>
      <c r="EO82" s="11"/>
      <c r="EP82" s="11"/>
      <c r="EQ82" s="11"/>
      <c r="ER82" s="11"/>
      <c r="ES82" s="11"/>
      <c r="ET82" s="11"/>
      <c r="EU82" s="11"/>
      <c r="EV82" s="11"/>
      <c r="EW82" s="11"/>
      <c r="EX82" s="11"/>
      <c r="EY82" s="11"/>
      <c r="EZ82" s="11"/>
      <c r="FA82" s="11"/>
      <c r="FB82" s="11"/>
      <c r="FC82" s="11"/>
    </row>
    <row r="83" spans="1:171" ht="12" customHeight="1" x14ac:dyDescent="0.25">
      <c r="D83" s="5"/>
      <c r="E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EB83" s="11"/>
      <c r="EC83" s="11"/>
      <c r="ED83" s="11"/>
      <c r="EE83" s="11"/>
      <c r="EF83" s="11"/>
      <c r="EG83" s="11"/>
      <c r="EH83" s="11"/>
      <c r="EI83" s="11"/>
      <c r="EJ83" s="11"/>
      <c r="EK83" s="11"/>
      <c r="EL83" s="11"/>
      <c r="EM83" s="11"/>
      <c r="EN83" s="11"/>
      <c r="EO83" s="11"/>
      <c r="EP83" s="11"/>
      <c r="EQ83" s="11"/>
      <c r="ER83" s="11"/>
      <c r="ES83" s="11"/>
      <c r="ET83" s="11"/>
      <c r="EU83" s="11"/>
      <c r="EV83" s="11"/>
      <c r="EW83" s="11"/>
      <c r="EX83" s="11"/>
      <c r="EY83" s="11"/>
      <c r="EZ83" s="11"/>
      <c r="FA83" s="11"/>
      <c r="FB83" s="11"/>
      <c r="FC83" s="11"/>
    </row>
    <row r="84" spans="1:171" ht="12" customHeight="1" x14ac:dyDescent="0.25">
      <c r="D84" s="5"/>
      <c r="E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E84" s="57" t="s">
        <v>22</v>
      </c>
      <c r="AF84" s="641" t="s">
        <v>295</v>
      </c>
      <c r="AG84" s="641"/>
      <c r="AH84" s="641"/>
      <c r="AI84" s="641"/>
      <c r="AJ84" s="641"/>
      <c r="AK84" s="641"/>
      <c r="AL84" s="641"/>
      <c r="AM84" s="641"/>
      <c r="AN84" s="641"/>
      <c r="AO84" s="641"/>
      <c r="AP84" s="641"/>
      <c r="AQ84" s="641"/>
      <c r="AR84" s="641"/>
      <c r="AS84" s="641"/>
      <c r="AT84" s="641"/>
      <c r="AU84" s="641"/>
      <c r="AV84" s="641"/>
      <c r="AW84" s="283"/>
      <c r="EB84" s="11"/>
      <c r="EC84" s="11"/>
      <c r="ED84" s="11"/>
      <c r="EE84" s="11"/>
      <c r="EF84" s="11"/>
      <c r="EG84" s="11"/>
      <c r="EH84" s="11"/>
      <c r="EI84" s="11"/>
      <c r="EJ84" s="11"/>
      <c r="EK84" s="11"/>
      <c r="EL84" s="11"/>
      <c r="EM84" s="11"/>
      <c r="EN84" s="11"/>
      <c r="EO84" s="11"/>
      <c r="EP84" s="11"/>
      <c r="EQ84" s="11"/>
      <c r="ER84" s="11"/>
      <c r="ES84" s="11"/>
      <c r="ET84" s="11"/>
      <c r="EU84" s="11"/>
      <c r="EV84" s="11"/>
      <c r="EW84" s="11"/>
      <c r="EX84" s="11"/>
      <c r="EY84" s="11"/>
      <c r="EZ84" s="11"/>
      <c r="FA84" s="11"/>
      <c r="FB84" s="11"/>
      <c r="FC84" s="11"/>
    </row>
    <row r="85" spans="1:171" ht="12" customHeight="1" x14ac:dyDescent="0.25">
      <c r="D85" s="5"/>
      <c r="E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E85" s="9" t="s">
        <v>20</v>
      </c>
      <c r="AF85" s="593">
        <f>G47</f>
        <v>0</v>
      </c>
      <c r="AG85" s="593"/>
      <c r="AH85" s="593"/>
      <c r="AI85" s="593"/>
      <c r="AJ85" s="593"/>
      <c r="AK85" s="593"/>
      <c r="AL85" s="593"/>
      <c r="AM85" s="593"/>
      <c r="AN85" s="593"/>
      <c r="AO85" s="593"/>
      <c r="AP85" s="593"/>
      <c r="AQ85" s="593"/>
      <c r="AR85" s="593"/>
      <c r="AS85" s="593"/>
      <c r="AT85" s="593"/>
      <c r="AU85" s="593"/>
      <c r="AV85" s="593"/>
      <c r="AW85" s="593"/>
      <c r="EB85" s="11"/>
      <c r="EC85" s="11"/>
      <c r="ED85" s="11"/>
      <c r="EE85" s="11"/>
      <c r="EF85" s="11"/>
      <c r="EG85" s="11"/>
      <c r="EH85" s="11"/>
      <c r="EI85" s="11"/>
      <c r="EJ85" s="11"/>
      <c r="EK85" s="11"/>
      <c r="EL85" s="11"/>
      <c r="EM85" s="11"/>
      <c r="EN85" s="11"/>
      <c r="EO85" s="11"/>
      <c r="EP85" s="11"/>
      <c r="EQ85" s="11"/>
      <c r="ER85" s="11"/>
      <c r="ES85" s="11"/>
      <c r="ET85" s="11"/>
      <c r="EU85" s="11"/>
      <c r="EV85" s="11"/>
      <c r="EW85" s="11"/>
      <c r="EX85" s="11"/>
      <c r="EY85" s="11"/>
      <c r="EZ85" s="11"/>
      <c r="FA85" s="11"/>
      <c r="FB85" s="11"/>
      <c r="FC85" s="11"/>
    </row>
    <row r="86" spans="1:171" ht="12" customHeight="1" x14ac:dyDescent="0.25">
      <c r="D86" s="5"/>
      <c r="E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E86" s="9" t="s">
        <v>21</v>
      </c>
      <c r="AF86" s="314">
        <f>AK47</f>
        <v>0</v>
      </c>
      <c r="AG86" s="314"/>
      <c r="AH86" s="314"/>
      <c r="AI86" s="314"/>
      <c r="AJ86" s="314"/>
      <c r="AK86" s="314"/>
      <c r="AL86"/>
      <c r="AM86"/>
      <c r="AN86"/>
      <c r="AP86" s="115" t="s">
        <v>291</v>
      </c>
      <c r="AQ86" s="617" t="str">
        <f>AB47&amp;"/"&amp;AI47</f>
        <v>0/0</v>
      </c>
      <c r="AR86" s="617"/>
      <c r="AS86" s="617"/>
      <c r="AT86" s="617"/>
      <c r="AU86" s="617"/>
      <c r="AV86" s="617"/>
      <c r="AW86" s="617"/>
      <c r="BB86" s="42"/>
      <c r="BC86" s="42"/>
      <c r="BD86" s="42"/>
      <c r="BE86" s="42"/>
      <c r="BF86" s="42"/>
      <c r="BG86" s="42"/>
      <c r="BH86" s="42"/>
      <c r="BI86" s="42"/>
      <c r="BJ86" s="42"/>
      <c r="BK86" s="42"/>
      <c r="BL86" s="42"/>
      <c r="BM86" s="42"/>
      <c r="BN86" s="42"/>
      <c r="BO86" s="42"/>
      <c r="BP86" s="42"/>
      <c r="BQ86" s="42"/>
      <c r="BR86" s="42"/>
      <c r="BS86" s="42"/>
      <c r="BT86" s="42"/>
      <c r="BU86" s="42"/>
      <c r="BV86" s="42"/>
      <c r="BW86" s="42"/>
      <c r="BX86" s="42"/>
      <c r="BY86" s="42"/>
      <c r="BZ86" s="42"/>
      <c r="CA86" s="42"/>
      <c r="CB86" s="42"/>
      <c r="CC86" s="42"/>
      <c r="CD86" s="42"/>
      <c r="CE86" s="42"/>
      <c r="CF86" s="42"/>
      <c r="CG86" s="42"/>
      <c r="CH86" s="42"/>
      <c r="CI86" s="42"/>
      <c r="CJ86" s="42"/>
      <c r="CK86" s="42"/>
      <c r="CL86" s="42"/>
      <c r="CM86" s="42"/>
      <c r="CN86" s="42"/>
      <c r="CO86" s="42"/>
      <c r="CP86" s="42"/>
      <c r="CQ86" s="42"/>
      <c r="CR86" s="42"/>
      <c r="CS86" s="42"/>
      <c r="CT86" s="42"/>
      <c r="CU86" s="42"/>
      <c r="CV86" s="42"/>
      <c r="CW86" s="42"/>
      <c r="CX86" s="42"/>
      <c r="CY86" s="42"/>
      <c r="CZ86" s="42"/>
      <c r="DA86" s="42"/>
      <c r="DB86" s="42"/>
      <c r="DC86" s="42"/>
      <c r="DD86" s="42"/>
      <c r="DE86" s="42"/>
      <c r="DF86" s="42"/>
      <c r="DG86" s="42"/>
      <c r="DH86" s="42"/>
      <c r="DI86" s="42"/>
      <c r="DJ86" s="42"/>
      <c r="DK86" s="42"/>
      <c r="DL86" s="42"/>
      <c r="DM86" s="42"/>
      <c r="DN86" s="42"/>
      <c r="EB86" s="11"/>
      <c r="EC86" s="11"/>
      <c r="ED86" s="11"/>
      <c r="EE86" s="11"/>
      <c r="EF86" s="11"/>
      <c r="EG86" s="11"/>
      <c r="EH86" s="11"/>
      <c r="EI86" s="11"/>
      <c r="EJ86" s="11"/>
      <c r="EK86" s="11"/>
      <c r="EL86" s="11"/>
      <c r="EM86" s="11"/>
      <c r="EN86" s="11"/>
      <c r="EO86" s="11"/>
      <c r="EP86" s="11"/>
      <c r="EQ86" s="11"/>
      <c r="ER86" s="11"/>
      <c r="ES86" s="11"/>
      <c r="ET86" s="11"/>
      <c r="EU86" s="11"/>
      <c r="EV86" s="11"/>
      <c r="EW86" s="11"/>
      <c r="EX86" s="11"/>
      <c r="EY86" s="11"/>
      <c r="EZ86" s="11"/>
      <c r="FA86" s="11"/>
      <c r="FB86" s="11"/>
      <c r="FC86" s="11"/>
    </row>
    <row r="87" spans="1:171" s="42" customFormat="1" ht="6" customHeight="1" x14ac:dyDescent="0.25">
      <c r="A87" s="8"/>
      <c r="B87" s="8"/>
      <c r="C87" s="8"/>
      <c r="D87" s="5"/>
      <c r="E87" s="5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</row>
    <row r="88" spans="1:171" ht="12" customHeight="1" thickBot="1" x14ac:dyDescent="0.3">
      <c r="D88" s="5"/>
      <c r="E88" s="5"/>
      <c r="F88" s="47"/>
      <c r="G88" s="48" t="s">
        <v>442</v>
      </c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7"/>
      <c r="S88" s="47"/>
      <c r="T88" s="47"/>
      <c r="U88" s="47"/>
      <c r="V88" s="47"/>
      <c r="W88" s="47"/>
      <c r="X88" s="47"/>
      <c r="Y88" s="47"/>
      <c r="Z88" s="47"/>
      <c r="AA88" s="47"/>
      <c r="AB88" s="47"/>
      <c r="AC88" s="47"/>
      <c r="AD88" s="47"/>
      <c r="AE88" s="47"/>
      <c r="AF88" s="47"/>
      <c r="AG88" s="47"/>
      <c r="AH88" s="47"/>
      <c r="AI88" s="47"/>
      <c r="AJ88" s="47"/>
      <c r="AK88" s="47"/>
      <c r="AL88" s="47"/>
      <c r="AM88" s="47"/>
      <c r="AN88" s="47"/>
      <c r="AO88" s="47"/>
      <c r="AP88" s="47"/>
      <c r="AQ88" s="47"/>
      <c r="AR88" s="47"/>
      <c r="AS88" s="47"/>
      <c r="AT88" s="47"/>
      <c r="AU88" s="47"/>
      <c r="AV88" s="47"/>
      <c r="AW88" s="47"/>
      <c r="AX88" s="49"/>
      <c r="AY88" s="11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</row>
    <row r="89" spans="1:171" ht="3.9" customHeight="1" x14ac:dyDescent="0.25">
      <c r="D89" s="5"/>
      <c r="E89" s="5"/>
      <c r="F89" s="54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Y89" s="11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</row>
    <row r="90" spans="1:171" ht="8.1" customHeight="1" thickBot="1" x14ac:dyDescent="0.3">
      <c r="D90" s="5"/>
      <c r="E90" s="5"/>
      <c r="F90" s="54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739" t="s">
        <v>58</v>
      </c>
      <c r="AL90" s="740"/>
      <c r="AM90" s="212" t="s">
        <v>59</v>
      </c>
      <c r="AN90" s="213"/>
      <c r="AO90" s="213"/>
      <c r="AP90" s="213"/>
      <c r="AQ90" s="213"/>
      <c r="AR90" s="213"/>
      <c r="AS90" s="213"/>
      <c r="AT90" s="213"/>
      <c r="AU90" s="213"/>
      <c r="AV90" s="213"/>
      <c r="AW90" s="741"/>
      <c r="AY90" s="11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12"/>
      <c r="DN90" s="12"/>
      <c r="DO90" s="12"/>
      <c r="DP90" s="12"/>
      <c r="DQ90" s="12"/>
      <c r="DR90" s="12"/>
      <c r="DS90" s="12"/>
      <c r="DT90" s="12"/>
      <c r="DU90" s="12"/>
      <c r="DV90" s="12"/>
      <c r="DW90" s="12"/>
      <c r="DX90" s="12"/>
      <c r="DY90" s="12"/>
      <c r="DZ90" s="12"/>
      <c r="EA90" s="12"/>
    </row>
    <row r="91" spans="1:171" ht="11.1" customHeight="1" thickBot="1" x14ac:dyDescent="0.3">
      <c r="D91" s="5"/>
      <c r="E91" s="5"/>
      <c r="G91" s="862" t="s">
        <v>447</v>
      </c>
      <c r="H91" s="863"/>
      <c r="I91" s="863"/>
      <c r="J91" s="863"/>
      <c r="K91" s="863"/>
      <c r="L91" s="863"/>
      <c r="M91" s="863"/>
      <c r="N91" s="863"/>
      <c r="O91" s="863"/>
      <c r="P91" s="863"/>
      <c r="Q91" s="863"/>
      <c r="R91" s="863"/>
      <c r="S91" s="863"/>
      <c r="T91" s="863"/>
      <c r="U91" s="863"/>
      <c r="V91" s="863"/>
      <c r="W91" s="863"/>
      <c r="X91" s="863"/>
      <c r="Y91" s="863"/>
      <c r="Z91" s="863"/>
      <c r="AA91" s="863"/>
      <c r="AB91" s="197"/>
      <c r="AC91" s="196" t="s">
        <v>46</v>
      </c>
      <c r="AD91" s="196"/>
      <c r="AE91" s="197"/>
      <c r="AF91" s="196" t="s">
        <v>80</v>
      </c>
      <c r="AG91"/>
      <c r="AH91"/>
      <c r="AI91"/>
      <c r="AK91" s="864"/>
      <c r="AL91" s="865"/>
      <c r="AM91" s="865"/>
      <c r="AN91" s="865"/>
      <c r="AO91" s="865"/>
      <c r="AP91" s="865"/>
      <c r="AQ91" s="865"/>
      <c r="AR91" s="865"/>
      <c r="AS91" s="865"/>
      <c r="AT91" s="865"/>
      <c r="AU91" s="865"/>
      <c r="AV91" s="865"/>
      <c r="AW91" s="866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12"/>
      <c r="DN91" s="12"/>
      <c r="DO91" s="12"/>
      <c r="DP91" s="12"/>
      <c r="DQ91" s="12"/>
      <c r="DR91" s="12"/>
      <c r="DS91" s="12"/>
      <c r="DT91" s="12"/>
      <c r="DU91" s="12"/>
      <c r="DV91" s="12"/>
      <c r="DW91" s="12"/>
      <c r="DX91" s="12"/>
      <c r="DY91" s="12"/>
      <c r="DZ91" s="12"/>
      <c r="EA91" s="12"/>
    </row>
    <row r="92" spans="1:171" s="11" customFormat="1" ht="3.9" customHeight="1" x14ac:dyDescent="0.25">
      <c r="A92" s="8"/>
      <c r="B92" s="8"/>
      <c r="C92" s="8"/>
      <c r="D92" s="5"/>
      <c r="E92" s="5"/>
      <c r="F92" s="54"/>
      <c r="AX92" s="12"/>
      <c r="AZ92" s="5"/>
      <c r="BA92" s="5"/>
      <c r="BB92" s="5"/>
      <c r="BC92" s="5"/>
      <c r="BD92" s="5"/>
      <c r="BE92" s="5"/>
      <c r="BF92" s="5"/>
      <c r="BG92" s="5"/>
      <c r="BH92" s="5"/>
      <c r="BI92" s="5"/>
      <c r="BM92" s="5"/>
      <c r="BN92" s="5"/>
      <c r="BO92" s="5"/>
      <c r="CS92" s="5"/>
      <c r="EB92" s="12"/>
      <c r="EC92" s="12"/>
      <c r="ED92" s="12"/>
      <c r="EE92" s="12"/>
      <c r="EF92" s="12"/>
      <c r="EG92" s="12"/>
      <c r="EH92" s="12"/>
      <c r="EI92" s="12"/>
      <c r="EJ92" s="12"/>
      <c r="EK92" s="12"/>
      <c r="EL92" s="12"/>
      <c r="EM92" s="12"/>
      <c r="EN92" s="12"/>
      <c r="EO92" s="12"/>
      <c r="EP92" s="12"/>
      <c r="EQ92" s="12"/>
      <c r="ER92" s="12"/>
      <c r="ES92" s="12"/>
      <c r="ET92" s="12"/>
      <c r="EU92" s="12"/>
      <c r="EV92" s="12"/>
      <c r="EW92" s="12"/>
      <c r="EX92" s="12"/>
      <c r="EY92" s="12"/>
      <c r="EZ92" s="12"/>
      <c r="FA92" s="12"/>
      <c r="FB92" s="12"/>
      <c r="FC92" s="12"/>
      <c r="FD92" s="12"/>
      <c r="FE92" s="12"/>
      <c r="FF92" s="12"/>
      <c r="FG92" s="12"/>
      <c r="FH92" s="12"/>
      <c r="FI92" s="12"/>
      <c r="FJ92" s="12"/>
      <c r="FK92" s="12"/>
      <c r="FL92" s="12"/>
      <c r="FM92" s="12"/>
      <c r="FN92" s="12"/>
      <c r="FO92" s="12"/>
    </row>
    <row r="93" spans="1:171" s="11" customFormat="1" ht="11.1" customHeight="1" x14ac:dyDescent="0.25">
      <c r="A93" s="8"/>
      <c r="B93" s="8"/>
      <c r="C93" s="8"/>
      <c r="D93" s="8"/>
      <c r="E93" s="9"/>
      <c r="F93" s="12"/>
      <c r="G93" s="288" t="s">
        <v>443</v>
      </c>
      <c r="H93" s="289"/>
      <c r="I93" s="289"/>
      <c r="J93" s="289"/>
      <c r="K93" s="289"/>
      <c r="L93" s="289"/>
      <c r="M93" s="289"/>
      <c r="N93" s="289"/>
      <c r="O93" s="289"/>
      <c r="P93" s="289"/>
      <c r="Q93" s="289"/>
      <c r="R93" s="289"/>
      <c r="S93" s="289"/>
      <c r="T93" s="289"/>
      <c r="U93" s="289"/>
      <c r="V93" s="289"/>
      <c r="W93" s="289"/>
      <c r="X93" s="289"/>
      <c r="Y93" s="289"/>
      <c r="Z93" s="289"/>
      <c r="AA93" s="289"/>
      <c r="AB93" s="289"/>
      <c r="AC93" s="289"/>
      <c r="AD93" s="289"/>
      <c r="AE93" s="289"/>
      <c r="AF93" s="289"/>
      <c r="AG93" s="289"/>
      <c r="AH93" s="289"/>
      <c r="AI93" s="289"/>
      <c r="AJ93" s="289"/>
      <c r="AK93" s="289"/>
      <c r="AL93" s="289"/>
      <c r="AM93" s="289"/>
      <c r="AN93" s="289"/>
      <c r="AO93" s="289"/>
      <c r="AP93" s="289"/>
      <c r="AQ93" s="289"/>
      <c r="AR93" s="289"/>
      <c r="AS93" s="289"/>
      <c r="AT93" s="289"/>
      <c r="AU93" s="289"/>
      <c r="AV93" s="289"/>
      <c r="AW93" s="290"/>
      <c r="AX93" s="12"/>
      <c r="AY93" s="12"/>
      <c r="AZ93" s="5"/>
      <c r="BA93" s="5"/>
      <c r="BB93" s="5"/>
      <c r="BC93" s="5"/>
      <c r="BD93" s="5"/>
      <c r="BE93" s="5"/>
      <c r="BF93" s="5"/>
      <c r="BG93" s="5"/>
      <c r="BH93" s="5"/>
      <c r="BI93" s="5"/>
      <c r="BM93" s="5"/>
      <c r="BN93" s="5"/>
      <c r="BO93" s="5"/>
      <c r="BP93" s="5"/>
      <c r="BQ93" s="5"/>
      <c r="BR93" s="5"/>
      <c r="BS93" s="5"/>
      <c r="BT93" s="5"/>
      <c r="DM93" s="12"/>
      <c r="DN93" s="12"/>
      <c r="DO93" s="12"/>
      <c r="DP93" s="12"/>
      <c r="DQ93" s="12"/>
      <c r="DR93" s="12"/>
      <c r="DS93" s="12"/>
      <c r="DT93" s="12"/>
      <c r="DU93" s="12"/>
      <c r="DV93" s="12"/>
      <c r="DW93" s="12"/>
      <c r="DX93" s="12"/>
      <c r="DY93" s="12"/>
      <c r="DZ93" s="12"/>
      <c r="EA93" s="12"/>
      <c r="EB93" s="12"/>
      <c r="EC93" s="12"/>
      <c r="ED93" s="12"/>
      <c r="EE93" s="12"/>
      <c r="EF93" s="12"/>
      <c r="EG93" s="12"/>
      <c r="EH93" s="12"/>
      <c r="EI93" s="12"/>
      <c r="EJ93" s="12"/>
      <c r="EK93" s="12"/>
      <c r="EL93" s="12"/>
      <c r="EM93" s="12"/>
      <c r="EN93" s="12"/>
      <c r="EO93" s="12"/>
      <c r="EP93" s="12"/>
      <c r="EQ93" s="12"/>
      <c r="ER93" s="12"/>
      <c r="ES93" s="12"/>
      <c r="ET93" s="12"/>
      <c r="EU93" s="12"/>
      <c r="EV93" s="12"/>
      <c r="EW93" s="12"/>
      <c r="EX93" s="12"/>
      <c r="EY93" s="12"/>
      <c r="EZ93" s="12"/>
    </row>
    <row r="94" spans="1:171" ht="11.1" customHeight="1" x14ac:dyDescent="0.25">
      <c r="A94" s="12"/>
      <c r="B94" s="12"/>
      <c r="C94" s="12"/>
      <c r="D94" s="12"/>
      <c r="E94" s="61"/>
      <c r="F94" s="44"/>
      <c r="G94" s="840"/>
      <c r="H94" s="841"/>
      <c r="I94" s="841"/>
      <c r="J94" s="841"/>
      <c r="K94" s="841"/>
      <c r="L94" s="841"/>
      <c r="M94" s="841"/>
      <c r="N94" s="841"/>
      <c r="O94" s="841"/>
      <c r="P94" s="841"/>
      <c r="Q94" s="841"/>
      <c r="R94" s="841"/>
      <c r="S94" s="841"/>
      <c r="T94" s="841"/>
      <c r="U94" s="841"/>
      <c r="V94" s="841"/>
      <c r="W94" s="841"/>
      <c r="X94" s="841"/>
      <c r="Y94" s="841"/>
      <c r="Z94" s="841"/>
      <c r="AA94" s="841"/>
      <c r="AB94" s="841"/>
      <c r="AC94" s="841"/>
      <c r="AD94" s="841"/>
      <c r="AE94" s="841"/>
      <c r="AF94" s="841"/>
      <c r="AG94" s="841"/>
      <c r="AH94" s="841"/>
      <c r="AI94" s="841"/>
      <c r="AJ94" s="841"/>
      <c r="AK94" s="841"/>
      <c r="AL94" s="841"/>
      <c r="AM94" s="841"/>
      <c r="AN94" s="841"/>
      <c r="AO94" s="841"/>
      <c r="AP94" s="841"/>
      <c r="AQ94" s="841"/>
      <c r="AR94" s="841"/>
      <c r="AS94" s="841"/>
      <c r="AT94" s="841"/>
      <c r="AU94" s="841"/>
      <c r="AV94" s="841"/>
      <c r="AW94" s="842"/>
      <c r="AY94" s="11"/>
      <c r="BA94" s="12"/>
      <c r="BB94" s="12"/>
      <c r="BC94" s="62"/>
      <c r="BD94" s="42"/>
      <c r="BE94" s="12"/>
      <c r="BF94" s="12"/>
      <c r="BG94" s="12"/>
      <c r="BH94" s="12"/>
      <c r="BI94" s="12"/>
      <c r="BM94" s="5"/>
      <c r="BN94" s="5"/>
      <c r="BO94" s="5"/>
      <c r="BP94" s="5"/>
      <c r="BQ94" s="5"/>
      <c r="BR94" s="5"/>
      <c r="BS94" s="5"/>
      <c r="BT94" s="5"/>
      <c r="BU94" s="12"/>
      <c r="CN94" s="12"/>
      <c r="CO94" s="12"/>
      <c r="DI94" s="12"/>
      <c r="DJ94" s="12"/>
      <c r="DK94" s="12"/>
      <c r="DL94" s="12"/>
      <c r="DM94" s="12"/>
      <c r="DN94" s="12"/>
      <c r="DO94" s="12"/>
      <c r="DP94" s="12"/>
      <c r="DQ94" s="12"/>
      <c r="DR94" s="12"/>
      <c r="DS94" s="12"/>
      <c r="DT94" s="12"/>
      <c r="DU94" s="12"/>
      <c r="DV94" s="12"/>
      <c r="DW94" s="12"/>
      <c r="DX94" s="12"/>
      <c r="DY94" s="12"/>
      <c r="DZ94" s="12"/>
      <c r="EA94" s="12"/>
    </row>
    <row r="95" spans="1:171" ht="11.1" customHeight="1" x14ac:dyDescent="0.25">
      <c r="A95" s="12"/>
      <c r="B95" s="12"/>
      <c r="C95" s="12"/>
      <c r="D95" s="12"/>
      <c r="E95" s="61"/>
      <c r="F95" s="44"/>
      <c r="G95" s="843"/>
      <c r="H95" s="844"/>
      <c r="I95" s="844"/>
      <c r="J95" s="844"/>
      <c r="K95" s="844"/>
      <c r="L95" s="844"/>
      <c r="M95" s="844"/>
      <c r="N95" s="844"/>
      <c r="O95" s="844"/>
      <c r="P95" s="844"/>
      <c r="Q95" s="844"/>
      <c r="R95" s="844"/>
      <c r="S95" s="844"/>
      <c r="T95" s="844"/>
      <c r="U95" s="844"/>
      <c r="V95" s="844"/>
      <c r="W95" s="844"/>
      <c r="X95" s="844"/>
      <c r="Y95" s="844"/>
      <c r="Z95" s="844"/>
      <c r="AA95" s="844"/>
      <c r="AB95" s="844"/>
      <c r="AC95" s="844"/>
      <c r="AD95" s="844"/>
      <c r="AE95" s="844"/>
      <c r="AF95" s="844"/>
      <c r="AG95" s="844"/>
      <c r="AH95" s="844"/>
      <c r="AI95" s="844"/>
      <c r="AJ95" s="844"/>
      <c r="AK95" s="844"/>
      <c r="AL95" s="844"/>
      <c r="AM95" s="844"/>
      <c r="AN95" s="844"/>
      <c r="AO95" s="844"/>
      <c r="AP95" s="844"/>
      <c r="AQ95" s="844"/>
      <c r="AR95" s="844"/>
      <c r="AS95" s="844"/>
      <c r="AT95" s="844"/>
      <c r="AU95" s="844"/>
      <c r="AV95" s="844"/>
      <c r="AW95" s="845"/>
      <c r="AY95" s="11"/>
      <c r="BA95" s="12"/>
      <c r="BB95" s="12"/>
      <c r="BC95" s="62"/>
      <c r="BD95" s="42"/>
      <c r="BE95" s="12"/>
      <c r="BF95" s="12"/>
      <c r="BG95" s="12"/>
      <c r="BH95" s="12"/>
      <c r="BI95" s="12"/>
      <c r="BM95" s="5"/>
      <c r="BN95" s="5"/>
      <c r="BO95" s="5"/>
      <c r="BP95" s="5"/>
      <c r="BQ95" s="5"/>
      <c r="BR95" s="5"/>
      <c r="BS95" s="5"/>
      <c r="BT95" s="5"/>
      <c r="BU95" s="12"/>
      <c r="CN95" s="12"/>
      <c r="CO95" s="12"/>
      <c r="DI95" s="12"/>
      <c r="DJ95" s="12"/>
      <c r="DK95" s="12"/>
      <c r="DL95" s="12"/>
      <c r="DM95" s="12"/>
      <c r="DN95" s="12"/>
      <c r="DO95" s="12"/>
      <c r="DP95" s="12"/>
      <c r="DQ95" s="12"/>
      <c r="DR95" s="12"/>
      <c r="DS95" s="12"/>
      <c r="DT95" s="12"/>
      <c r="DU95" s="12"/>
      <c r="DV95" s="12"/>
      <c r="DW95" s="12"/>
      <c r="DX95" s="12"/>
      <c r="DY95" s="12"/>
      <c r="DZ95" s="12"/>
      <c r="EA95" s="12"/>
    </row>
    <row r="96" spans="1:171" ht="11.1" customHeight="1" x14ac:dyDescent="0.25">
      <c r="A96" s="12"/>
      <c r="B96" s="12"/>
      <c r="C96" s="12"/>
      <c r="D96" s="12"/>
      <c r="E96" s="61"/>
      <c r="F96" s="44"/>
      <c r="G96" s="843"/>
      <c r="H96" s="844"/>
      <c r="I96" s="844"/>
      <c r="J96" s="844"/>
      <c r="K96" s="844"/>
      <c r="L96" s="844"/>
      <c r="M96" s="844"/>
      <c r="N96" s="844"/>
      <c r="O96" s="844"/>
      <c r="P96" s="844"/>
      <c r="Q96" s="844"/>
      <c r="R96" s="844"/>
      <c r="S96" s="844"/>
      <c r="T96" s="844"/>
      <c r="U96" s="844"/>
      <c r="V96" s="844"/>
      <c r="W96" s="844"/>
      <c r="X96" s="844"/>
      <c r="Y96" s="844"/>
      <c r="Z96" s="844"/>
      <c r="AA96" s="844"/>
      <c r="AB96" s="844"/>
      <c r="AC96" s="844"/>
      <c r="AD96" s="844"/>
      <c r="AE96" s="844"/>
      <c r="AF96" s="844"/>
      <c r="AG96" s="844"/>
      <c r="AH96" s="844"/>
      <c r="AI96" s="844"/>
      <c r="AJ96" s="844"/>
      <c r="AK96" s="844"/>
      <c r="AL96" s="844"/>
      <c r="AM96" s="844"/>
      <c r="AN96" s="844"/>
      <c r="AO96" s="844"/>
      <c r="AP96" s="844"/>
      <c r="AQ96" s="844"/>
      <c r="AR96" s="844"/>
      <c r="AS96" s="844"/>
      <c r="AT96" s="844"/>
      <c r="AU96" s="844"/>
      <c r="AV96" s="844"/>
      <c r="AW96" s="845"/>
      <c r="AY96" s="11"/>
      <c r="BA96" s="12"/>
      <c r="BB96" s="12"/>
      <c r="BC96" s="62"/>
      <c r="BD96" s="42"/>
      <c r="BE96" s="12"/>
      <c r="BF96" s="12"/>
      <c r="BG96" s="12"/>
      <c r="BH96" s="12"/>
      <c r="BI96" s="12"/>
      <c r="BM96" s="5"/>
      <c r="BN96" s="5"/>
      <c r="BO96" s="5"/>
      <c r="BP96" s="5"/>
      <c r="BQ96" s="5"/>
      <c r="BR96" s="5"/>
      <c r="BS96" s="5"/>
      <c r="BT96" s="5"/>
      <c r="BU96" s="12"/>
      <c r="CN96" s="12"/>
      <c r="CO96" s="12"/>
      <c r="DI96" s="12"/>
      <c r="DJ96" s="12"/>
      <c r="DK96" s="12"/>
      <c r="DL96" s="12"/>
      <c r="DM96" s="12"/>
      <c r="DN96" s="12"/>
      <c r="DO96" s="12"/>
      <c r="DP96" s="12"/>
      <c r="DQ96" s="12"/>
      <c r="DR96" s="12"/>
      <c r="DS96" s="12"/>
      <c r="DT96" s="12"/>
      <c r="DU96" s="12"/>
      <c r="DV96" s="12"/>
      <c r="DW96" s="12"/>
      <c r="DX96" s="12"/>
      <c r="DY96" s="12"/>
      <c r="DZ96" s="12"/>
      <c r="EA96" s="12"/>
    </row>
    <row r="97" spans="1:159" ht="11.1" customHeight="1" x14ac:dyDescent="0.25">
      <c r="A97" s="12"/>
      <c r="B97" s="12"/>
      <c r="C97" s="12"/>
      <c r="D97" s="12"/>
      <c r="E97" s="61"/>
      <c r="F97" s="44"/>
      <c r="G97" s="843"/>
      <c r="H97" s="844"/>
      <c r="I97" s="844"/>
      <c r="J97" s="844"/>
      <c r="K97" s="844"/>
      <c r="L97" s="844"/>
      <c r="M97" s="844"/>
      <c r="N97" s="844"/>
      <c r="O97" s="844"/>
      <c r="P97" s="844"/>
      <c r="Q97" s="844"/>
      <c r="R97" s="844"/>
      <c r="S97" s="844"/>
      <c r="T97" s="844"/>
      <c r="U97" s="844"/>
      <c r="V97" s="844"/>
      <c r="W97" s="844"/>
      <c r="X97" s="844"/>
      <c r="Y97" s="844"/>
      <c r="Z97" s="844"/>
      <c r="AA97" s="844"/>
      <c r="AB97" s="844"/>
      <c r="AC97" s="844"/>
      <c r="AD97" s="844"/>
      <c r="AE97" s="844"/>
      <c r="AF97" s="844"/>
      <c r="AG97" s="844"/>
      <c r="AH97" s="844"/>
      <c r="AI97" s="844"/>
      <c r="AJ97" s="844"/>
      <c r="AK97" s="844"/>
      <c r="AL97" s="844"/>
      <c r="AM97" s="844"/>
      <c r="AN97" s="844"/>
      <c r="AO97" s="844"/>
      <c r="AP97" s="844"/>
      <c r="AQ97" s="844"/>
      <c r="AR97" s="844"/>
      <c r="AS97" s="844"/>
      <c r="AT97" s="844"/>
      <c r="AU97" s="844"/>
      <c r="AV97" s="844"/>
      <c r="AW97" s="845"/>
      <c r="AY97" s="11"/>
      <c r="BA97" s="12"/>
      <c r="BB97" s="12"/>
      <c r="BC97" s="62"/>
      <c r="BD97" s="42"/>
      <c r="BE97" s="12"/>
      <c r="BF97" s="12"/>
      <c r="BG97" s="12"/>
      <c r="BH97" s="12"/>
      <c r="BI97" s="12"/>
      <c r="BM97" s="5"/>
      <c r="BN97" s="5"/>
      <c r="BO97" s="5"/>
      <c r="BP97" s="5"/>
      <c r="BQ97" s="5"/>
      <c r="BR97" s="5"/>
      <c r="BS97" s="5"/>
      <c r="BT97" s="5"/>
      <c r="BU97" s="12"/>
      <c r="CN97" s="12"/>
      <c r="CO97" s="12"/>
      <c r="DI97" s="12"/>
      <c r="DJ97" s="12"/>
      <c r="DK97" s="12"/>
      <c r="DL97" s="12"/>
      <c r="DM97" s="12"/>
      <c r="DN97" s="12"/>
      <c r="DO97" s="12"/>
      <c r="DP97" s="12"/>
      <c r="DQ97" s="12"/>
      <c r="DR97" s="12"/>
      <c r="DS97" s="12"/>
      <c r="DT97" s="12"/>
      <c r="DU97" s="12"/>
      <c r="DV97" s="12"/>
      <c r="DW97" s="12"/>
      <c r="DX97" s="12"/>
      <c r="DY97" s="12"/>
      <c r="DZ97" s="12"/>
      <c r="EA97" s="12"/>
    </row>
    <row r="98" spans="1:159" ht="11.1" customHeight="1" x14ac:dyDescent="0.25">
      <c r="A98" s="12"/>
      <c r="B98" s="12"/>
      <c r="C98" s="12"/>
      <c r="D98" s="12"/>
      <c r="E98" s="61"/>
      <c r="F98" s="44"/>
      <c r="G98" s="843"/>
      <c r="H98" s="844"/>
      <c r="I98" s="844"/>
      <c r="J98" s="844"/>
      <c r="K98" s="844"/>
      <c r="L98" s="844"/>
      <c r="M98" s="844"/>
      <c r="N98" s="844"/>
      <c r="O98" s="844"/>
      <c r="P98" s="844"/>
      <c r="Q98" s="844"/>
      <c r="R98" s="844"/>
      <c r="S98" s="844"/>
      <c r="T98" s="844"/>
      <c r="U98" s="844"/>
      <c r="V98" s="844"/>
      <c r="W98" s="844"/>
      <c r="X98" s="844"/>
      <c r="Y98" s="844"/>
      <c r="Z98" s="844"/>
      <c r="AA98" s="844"/>
      <c r="AB98" s="844"/>
      <c r="AC98" s="844"/>
      <c r="AD98" s="844"/>
      <c r="AE98" s="844"/>
      <c r="AF98" s="844"/>
      <c r="AG98" s="844"/>
      <c r="AH98" s="844"/>
      <c r="AI98" s="844"/>
      <c r="AJ98" s="844"/>
      <c r="AK98" s="844"/>
      <c r="AL98" s="844"/>
      <c r="AM98" s="844"/>
      <c r="AN98" s="844"/>
      <c r="AO98" s="844"/>
      <c r="AP98" s="844"/>
      <c r="AQ98" s="844"/>
      <c r="AR98" s="844"/>
      <c r="AS98" s="844"/>
      <c r="AT98" s="844"/>
      <c r="AU98" s="844"/>
      <c r="AV98" s="844"/>
      <c r="AW98" s="845"/>
      <c r="AY98" s="11"/>
      <c r="BA98" s="12"/>
      <c r="BB98" s="12"/>
      <c r="BC98" s="62"/>
      <c r="BD98" s="42"/>
      <c r="BE98" s="12"/>
      <c r="BF98" s="12"/>
      <c r="BG98" s="12"/>
      <c r="BH98" s="12"/>
      <c r="BI98" s="12"/>
      <c r="BM98" s="5"/>
      <c r="BN98" s="5"/>
      <c r="BO98" s="5"/>
      <c r="CR98" s="12"/>
      <c r="CS98" s="12"/>
      <c r="CT98" s="12"/>
      <c r="CU98" s="12"/>
      <c r="CV98" s="12"/>
      <c r="CW98" s="12"/>
      <c r="CX98" s="12"/>
      <c r="CY98" s="12"/>
      <c r="CZ98" s="12"/>
      <c r="DA98" s="12"/>
      <c r="DB98" s="12"/>
      <c r="DC98" s="12"/>
      <c r="DD98" s="12"/>
      <c r="DE98" s="12"/>
      <c r="DF98" s="12"/>
      <c r="DG98" s="12"/>
      <c r="DH98" s="12"/>
      <c r="DI98" s="12"/>
      <c r="DJ98" s="12"/>
      <c r="DK98" s="12"/>
      <c r="DL98" s="12"/>
      <c r="DM98" s="12"/>
      <c r="DN98" s="12"/>
      <c r="DO98" s="12"/>
      <c r="DP98" s="12"/>
      <c r="DQ98" s="12"/>
      <c r="DR98" s="12"/>
      <c r="DS98" s="12"/>
      <c r="DT98" s="12"/>
      <c r="DU98" s="12"/>
      <c r="DV98" s="12"/>
      <c r="DW98" s="12"/>
      <c r="DX98" s="12"/>
      <c r="DY98" s="12"/>
      <c r="DZ98" s="12"/>
      <c r="EA98" s="12"/>
    </row>
    <row r="99" spans="1:159" ht="11.1" customHeight="1" x14ac:dyDescent="0.25">
      <c r="A99" s="12"/>
      <c r="B99" s="12"/>
      <c r="C99" s="12"/>
      <c r="D99" s="12"/>
      <c r="E99" s="61"/>
      <c r="F99" s="44"/>
      <c r="G99" s="846"/>
      <c r="H99" s="847"/>
      <c r="I99" s="847"/>
      <c r="J99" s="847"/>
      <c r="K99" s="847"/>
      <c r="L99" s="847"/>
      <c r="M99" s="847"/>
      <c r="N99" s="847"/>
      <c r="O99" s="847"/>
      <c r="P99" s="847"/>
      <c r="Q99" s="847"/>
      <c r="R99" s="847"/>
      <c r="S99" s="847"/>
      <c r="T99" s="847"/>
      <c r="U99" s="847"/>
      <c r="V99" s="847"/>
      <c r="W99" s="847"/>
      <c r="X99" s="847"/>
      <c r="Y99" s="847"/>
      <c r="Z99" s="847"/>
      <c r="AA99" s="847"/>
      <c r="AB99" s="847"/>
      <c r="AC99" s="847"/>
      <c r="AD99" s="847"/>
      <c r="AE99" s="847"/>
      <c r="AF99" s="847"/>
      <c r="AG99" s="847"/>
      <c r="AH99" s="847"/>
      <c r="AI99" s="847"/>
      <c r="AJ99" s="847"/>
      <c r="AK99" s="847"/>
      <c r="AL99" s="847"/>
      <c r="AM99" s="847"/>
      <c r="AN99" s="847"/>
      <c r="AO99" s="847"/>
      <c r="AP99" s="847"/>
      <c r="AQ99" s="847"/>
      <c r="AR99" s="847"/>
      <c r="AS99" s="847"/>
      <c r="AT99" s="847"/>
      <c r="AU99" s="847"/>
      <c r="AV99" s="847"/>
      <c r="AW99" s="848"/>
      <c r="AY99" s="11"/>
      <c r="BA99" s="12"/>
      <c r="BB99" s="12"/>
      <c r="BC99" s="62"/>
      <c r="BD99" s="42"/>
      <c r="BE99" s="12"/>
      <c r="BF99" s="12"/>
      <c r="BG99" s="12"/>
      <c r="BH99" s="12"/>
      <c r="BI99" s="12"/>
      <c r="BM99" s="5"/>
      <c r="BN99" s="5"/>
      <c r="BO99" s="5"/>
      <c r="BU99" s="12"/>
      <c r="BV99" s="12"/>
      <c r="BW99" s="12"/>
      <c r="BX99" s="12"/>
      <c r="BY99" s="12"/>
      <c r="CL99" s="12"/>
      <c r="CM99" s="12"/>
      <c r="CN99" s="12"/>
      <c r="CO99" s="12"/>
      <c r="CP99" s="12"/>
      <c r="CQ99" s="12"/>
      <c r="CR99" s="12"/>
      <c r="CS99" s="12"/>
      <c r="CT99" s="12"/>
      <c r="CU99" s="12"/>
      <c r="CV99" s="12"/>
      <c r="CW99" s="12"/>
      <c r="CX99" s="12"/>
      <c r="CY99" s="12"/>
      <c r="CZ99" s="12"/>
      <c r="DA99" s="12"/>
      <c r="DB99" s="12"/>
      <c r="DC99" s="12"/>
      <c r="DD99" s="12"/>
      <c r="DE99" s="12"/>
      <c r="DF99" s="12"/>
      <c r="DG99" s="12"/>
      <c r="DH99" s="12"/>
      <c r="DI99" s="12"/>
      <c r="DJ99" s="12"/>
      <c r="DK99" s="12"/>
      <c r="DL99" s="12"/>
      <c r="DM99" s="12"/>
      <c r="DN99" s="12"/>
      <c r="DO99" s="12"/>
      <c r="DP99" s="12"/>
      <c r="DQ99" s="12"/>
      <c r="DR99" s="12"/>
      <c r="DS99" s="12"/>
      <c r="DT99" s="12"/>
      <c r="DU99" s="12"/>
      <c r="DV99" s="12"/>
      <c r="DW99" s="12"/>
      <c r="DX99" s="12"/>
      <c r="DY99" s="12"/>
      <c r="DZ99" s="12"/>
      <c r="EA99" s="12"/>
    </row>
    <row r="100" spans="1:159" ht="12.9" customHeight="1" x14ac:dyDescent="0.25">
      <c r="D100" s="5"/>
      <c r="E100" s="5"/>
      <c r="AC100" s="183"/>
      <c r="AD100" s="183"/>
      <c r="AE100" s="183"/>
      <c r="AF100" s="183"/>
      <c r="AG100" s="183"/>
      <c r="AH100" s="183"/>
      <c r="AI100" s="183"/>
      <c r="AJ100" s="183"/>
      <c r="AK100" s="183"/>
      <c r="AL100" s="183"/>
      <c r="AM100" s="183"/>
      <c r="AN100" s="183"/>
      <c r="AO100" s="183"/>
      <c r="AP100" s="183"/>
      <c r="AQ100" s="183"/>
      <c r="AR100" s="183"/>
      <c r="AS100" s="183"/>
      <c r="AT100" s="183"/>
      <c r="AU100" s="183"/>
      <c r="AV100" s="183"/>
      <c r="AW100" s="183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5"/>
      <c r="DO100" s="5"/>
      <c r="DP100" s="5"/>
      <c r="DQ100" s="5"/>
      <c r="DR100" s="5"/>
      <c r="DS100" s="5"/>
      <c r="DT100" s="5"/>
      <c r="DU100" s="5"/>
      <c r="DV100" s="5"/>
      <c r="DW100" s="5"/>
      <c r="DX100" s="5"/>
      <c r="DY100" s="5"/>
      <c r="DZ100" s="5"/>
      <c r="EA100" s="5"/>
      <c r="EQ100" s="11"/>
      <c r="ER100" s="11"/>
      <c r="ES100" s="11"/>
      <c r="ET100" s="11"/>
      <c r="EU100" s="11"/>
      <c r="EV100" s="11"/>
      <c r="EW100" s="11"/>
      <c r="EX100" s="11"/>
      <c r="EY100" s="11"/>
      <c r="EZ100" s="11"/>
      <c r="FA100" s="11"/>
      <c r="FB100" s="11"/>
      <c r="FC100" s="11"/>
    </row>
    <row r="101" spans="1:159" ht="12" customHeight="1" x14ac:dyDescent="0.25">
      <c r="D101" s="5"/>
      <c r="E101" s="5"/>
      <c r="H101" s="594"/>
      <c r="I101" s="594"/>
      <c r="J101" s="594"/>
      <c r="K101" s="594"/>
      <c r="L101" s="594"/>
      <c r="M101" s="594"/>
      <c r="N101" s="594"/>
      <c r="O101" s="594"/>
      <c r="P101" s="594"/>
      <c r="Q101" s="594"/>
      <c r="R101" s="594"/>
      <c r="S101" s="594"/>
      <c r="T101" s="594"/>
      <c r="U101" s="594"/>
      <c r="V101" s="594"/>
      <c r="W101" s="594"/>
      <c r="X101" s="594"/>
      <c r="Y101" s="594"/>
      <c r="Z101" s="594"/>
      <c r="AC101" s="183"/>
      <c r="AD101" s="183"/>
      <c r="AE101" s="184"/>
      <c r="AF101" s="875"/>
      <c r="AG101" s="875"/>
      <c r="AH101" s="875"/>
      <c r="AI101" s="875"/>
      <c r="AJ101" s="875"/>
      <c r="AK101" s="875"/>
      <c r="AL101" s="875"/>
      <c r="AM101" s="875"/>
      <c r="AN101" s="875"/>
      <c r="AO101" s="875"/>
      <c r="AP101" s="875"/>
      <c r="AQ101" s="875"/>
      <c r="AR101" s="875"/>
      <c r="AS101" s="875"/>
      <c r="AT101" s="875"/>
      <c r="AU101" s="875"/>
      <c r="AV101" s="875"/>
      <c r="AW101" s="87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5"/>
      <c r="DO101" s="5"/>
      <c r="DP101" s="5"/>
      <c r="DQ101" s="5"/>
      <c r="DR101" s="5"/>
      <c r="DS101" s="5"/>
      <c r="DT101" s="5"/>
      <c r="DU101" s="5"/>
      <c r="DV101" s="5"/>
      <c r="DW101" s="5"/>
      <c r="DX101" s="5"/>
      <c r="DY101" s="5"/>
      <c r="DZ101" s="5"/>
      <c r="EA101" s="5"/>
      <c r="EB101" s="11"/>
      <c r="EC101" s="11"/>
      <c r="ED101" s="11"/>
      <c r="EE101" s="11"/>
      <c r="EF101" s="11"/>
      <c r="EG101" s="11"/>
      <c r="EH101" s="11"/>
      <c r="EI101" s="11"/>
      <c r="EJ101" s="11"/>
      <c r="EK101" s="11"/>
      <c r="EL101" s="11"/>
      <c r="EM101" s="11"/>
      <c r="EN101" s="11"/>
      <c r="EO101" s="11"/>
      <c r="EP101" s="11"/>
      <c r="EQ101" s="11"/>
      <c r="ER101" s="11"/>
      <c r="ES101" s="11"/>
      <c r="ET101" s="11"/>
      <c r="EU101" s="11"/>
      <c r="EV101" s="11"/>
      <c r="EW101" s="11"/>
      <c r="EX101" s="11"/>
      <c r="EY101" s="11"/>
      <c r="EZ101" s="11"/>
      <c r="FA101" s="11"/>
      <c r="FB101" s="11"/>
      <c r="FC101" s="11"/>
    </row>
    <row r="102" spans="1:159" ht="12" customHeight="1" x14ac:dyDescent="0.25">
      <c r="D102" s="5"/>
      <c r="E102" s="5"/>
      <c r="H102" s="58" t="s">
        <v>18</v>
      </c>
      <c r="I102" s="598" t="s">
        <v>19</v>
      </c>
      <c r="J102" s="598"/>
      <c r="K102" s="598"/>
      <c r="L102" s="598"/>
      <c r="M102" s="598"/>
      <c r="N102" s="598"/>
      <c r="O102" s="598"/>
      <c r="P102" s="598"/>
      <c r="Q102" s="598"/>
      <c r="R102" s="598"/>
      <c r="S102" s="598"/>
      <c r="T102" s="598"/>
      <c r="U102" s="598"/>
      <c r="V102" s="598"/>
      <c r="W102" s="598"/>
      <c r="X102" s="598"/>
      <c r="Y102" s="598"/>
      <c r="Z102" s="599"/>
      <c r="AC102" s="183"/>
      <c r="AD102" s="183"/>
      <c r="AE102" s="185"/>
      <c r="AF102" s="794"/>
      <c r="AG102" s="794"/>
      <c r="AH102" s="794"/>
      <c r="AI102" s="794"/>
      <c r="AJ102" s="794"/>
      <c r="AK102" s="794"/>
      <c r="AL102" s="794"/>
      <c r="AM102" s="794"/>
      <c r="AN102" s="794"/>
      <c r="AO102" s="794"/>
      <c r="AP102" s="794"/>
      <c r="AQ102" s="794"/>
      <c r="AR102" s="794"/>
      <c r="AS102" s="794"/>
      <c r="AT102" s="794"/>
      <c r="AU102" s="794"/>
      <c r="AV102" s="794"/>
      <c r="AW102" s="794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5"/>
      <c r="DO102" s="5"/>
      <c r="DP102" s="5"/>
      <c r="DQ102" s="5"/>
      <c r="DR102" s="5"/>
      <c r="DS102" s="5"/>
      <c r="DT102" s="5"/>
      <c r="DU102" s="5"/>
      <c r="DV102" s="5"/>
      <c r="DW102" s="5"/>
      <c r="DX102" s="5"/>
      <c r="DY102" s="5"/>
      <c r="DZ102" s="5"/>
      <c r="EA102" s="5"/>
      <c r="EB102" s="11"/>
      <c r="EC102" s="11"/>
      <c r="ED102" s="11"/>
      <c r="EE102" s="11"/>
      <c r="EF102" s="11"/>
      <c r="EG102" s="11"/>
      <c r="EH102" s="11"/>
      <c r="EI102" s="11"/>
      <c r="EJ102" s="11"/>
      <c r="EK102" s="11"/>
      <c r="EL102" s="11"/>
      <c r="EM102" s="11"/>
      <c r="EN102" s="11"/>
      <c r="EO102" s="11"/>
      <c r="EP102" s="11"/>
      <c r="EQ102" s="11"/>
      <c r="ER102" s="11"/>
      <c r="ES102" s="11"/>
      <c r="ET102" s="11"/>
      <c r="EU102" s="11"/>
      <c r="EV102" s="11"/>
      <c r="EW102" s="11"/>
      <c r="EX102" s="11"/>
      <c r="EY102" s="11"/>
      <c r="EZ102" s="11"/>
      <c r="FA102" s="11"/>
      <c r="FB102" s="11"/>
      <c r="FC102" s="11"/>
    </row>
    <row r="103" spans="1:159" ht="12" customHeight="1" x14ac:dyDescent="0.25">
      <c r="D103" s="5"/>
      <c r="E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C103" s="179"/>
      <c r="AD103" s="180"/>
      <c r="AE103" s="182"/>
      <c r="AF103" s="794"/>
      <c r="AG103" s="794"/>
      <c r="AH103" s="794"/>
      <c r="AI103" s="794"/>
      <c r="AJ103" s="794"/>
      <c r="AK103" s="794"/>
      <c r="AL103" s="794"/>
      <c r="AM103" s="794"/>
      <c r="AN103" s="794"/>
      <c r="AO103" s="794"/>
      <c r="AP103" s="794"/>
      <c r="AQ103" s="794"/>
      <c r="AR103" s="794"/>
      <c r="AS103" s="794"/>
      <c r="AT103" s="794"/>
      <c r="AU103" s="794"/>
      <c r="AV103" s="794"/>
      <c r="AW103" s="794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5"/>
      <c r="DO103" s="5"/>
      <c r="DP103" s="5"/>
      <c r="DQ103" s="5"/>
      <c r="DR103" s="5"/>
      <c r="DS103" s="5"/>
      <c r="DT103" s="5"/>
      <c r="DU103" s="5"/>
      <c r="DV103" s="5"/>
      <c r="DW103" s="5"/>
      <c r="DX103" s="5"/>
      <c r="DY103" s="5"/>
      <c r="DZ103" s="5"/>
      <c r="EA103" s="5"/>
      <c r="EB103" s="11"/>
      <c r="EC103" s="11"/>
      <c r="ED103" s="11"/>
      <c r="EE103" s="11"/>
      <c r="EF103" s="11"/>
      <c r="EG103" s="11"/>
      <c r="EH103" s="11"/>
      <c r="EI103" s="11"/>
      <c r="EJ103" s="11"/>
      <c r="EK103" s="11"/>
      <c r="EL103" s="11"/>
      <c r="EM103" s="11"/>
      <c r="EN103" s="11"/>
      <c r="EO103" s="11"/>
      <c r="EP103" s="11"/>
      <c r="EQ103" s="11"/>
      <c r="ER103" s="11"/>
      <c r="ES103" s="11"/>
      <c r="ET103" s="11"/>
      <c r="EU103" s="11"/>
      <c r="EV103" s="11"/>
      <c r="EW103" s="11"/>
      <c r="EX103" s="11"/>
      <c r="EY103" s="11"/>
      <c r="EZ103" s="11"/>
      <c r="FA103" s="11"/>
      <c r="FB103" s="11"/>
      <c r="FC103" s="11"/>
    </row>
    <row r="104" spans="1:159" ht="12" customHeight="1" x14ac:dyDescent="0.25">
      <c r="D104" s="5"/>
      <c r="E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5"/>
      <c r="DO104" s="5"/>
      <c r="DP104" s="5"/>
      <c r="DQ104" s="5"/>
      <c r="DR104" s="5"/>
      <c r="DS104" s="5"/>
      <c r="DT104" s="5"/>
      <c r="DU104" s="5"/>
      <c r="DV104" s="5"/>
      <c r="DW104" s="5"/>
      <c r="DX104" s="5"/>
      <c r="DY104" s="5"/>
      <c r="DZ104" s="5"/>
      <c r="EA104" s="5"/>
      <c r="EB104" s="11"/>
      <c r="EC104" s="11"/>
      <c r="ED104" s="11"/>
      <c r="EE104" s="11"/>
      <c r="EF104" s="11"/>
      <c r="EG104" s="11"/>
      <c r="EH104" s="11"/>
      <c r="EI104" s="11"/>
      <c r="EJ104" s="11"/>
      <c r="EK104" s="11"/>
      <c r="EL104" s="11"/>
      <c r="EM104" s="11"/>
      <c r="EN104" s="11"/>
      <c r="EO104" s="11"/>
      <c r="EP104" s="11"/>
      <c r="EQ104" s="11"/>
      <c r="ER104" s="11"/>
      <c r="ES104" s="11"/>
      <c r="ET104" s="11"/>
      <c r="EU104" s="11"/>
      <c r="EV104" s="11"/>
      <c r="EW104" s="11"/>
      <c r="EX104" s="11"/>
      <c r="EY104" s="11"/>
      <c r="EZ104" s="11"/>
      <c r="FA104" s="11"/>
      <c r="FB104" s="11"/>
      <c r="FC104" s="11"/>
    </row>
    <row r="105" spans="1:159" ht="12" customHeight="1" x14ac:dyDescent="0.25">
      <c r="D105" s="5"/>
      <c r="E105" s="5"/>
      <c r="I105" s="57" t="s">
        <v>22</v>
      </c>
      <c r="J105" s="283" t="s">
        <v>463</v>
      </c>
      <c r="K105" s="284"/>
      <c r="L105" s="284"/>
      <c r="M105" s="284"/>
      <c r="N105" s="284"/>
      <c r="O105" s="284"/>
      <c r="P105" s="284"/>
      <c r="Q105" s="284"/>
      <c r="R105" s="284"/>
      <c r="S105" s="284"/>
      <c r="T105" s="284"/>
      <c r="U105" s="284"/>
      <c r="V105" s="284"/>
      <c r="W105" s="284"/>
      <c r="X105" s="284"/>
      <c r="Y105" s="284"/>
      <c r="Z105" s="284"/>
      <c r="AA105" s="284"/>
      <c r="AE105" s="57" t="s">
        <v>66</v>
      </c>
      <c r="AF105" s="283" t="s">
        <v>441</v>
      </c>
      <c r="AG105" s="284"/>
      <c r="AH105" s="284"/>
      <c r="AI105" s="284"/>
      <c r="AJ105" s="284"/>
      <c r="AK105" s="284"/>
      <c r="AL105" s="284"/>
      <c r="AM105" s="284"/>
      <c r="AN105" s="284"/>
      <c r="AO105" s="284"/>
      <c r="AP105" s="284"/>
      <c r="AQ105" s="284"/>
      <c r="AR105" s="284"/>
      <c r="AS105" s="284"/>
      <c r="AT105" s="284"/>
      <c r="AU105" s="284"/>
      <c r="AV105" s="284"/>
      <c r="AW105" s="284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5"/>
      <c r="DO105" s="5"/>
      <c r="DP105" s="5"/>
      <c r="DQ105" s="5"/>
      <c r="DR105" s="5"/>
      <c r="DS105" s="5"/>
      <c r="DT105" s="5"/>
      <c r="DU105" s="5"/>
      <c r="DV105" s="5"/>
      <c r="DW105" s="5"/>
      <c r="DX105" s="5"/>
      <c r="DY105" s="5"/>
      <c r="DZ105" s="5"/>
      <c r="EA105" s="5"/>
      <c r="EB105" s="11"/>
      <c r="EC105" s="11"/>
      <c r="ED105" s="11"/>
      <c r="EE105" s="11"/>
      <c r="EF105" s="11"/>
      <c r="EG105" s="11"/>
      <c r="EH105" s="11"/>
      <c r="EI105" s="11"/>
      <c r="EJ105" s="11"/>
      <c r="EK105" s="11"/>
      <c r="EL105" s="11"/>
      <c r="EM105" s="11"/>
      <c r="EN105" s="11"/>
      <c r="EO105" s="11"/>
      <c r="EP105" s="11"/>
      <c r="EQ105" s="11"/>
      <c r="ER105" s="11"/>
      <c r="ES105" s="11"/>
      <c r="ET105" s="11"/>
      <c r="EU105" s="11"/>
      <c r="EV105" s="11"/>
      <c r="EW105" s="11"/>
      <c r="EX105" s="11"/>
      <c r="EY105" s="11"/>
      <c r="EZ105" s="11"/>
      <c r="FA105" s="11"/>
      <c r="FB105" s="11"/>
      <c r="FC105" s="11"/>
    </row>
    <row r="106" spans="1:159" ht="12" customHeight="1" x14ac:dyDescent="0.25">
      <c r="D106" s="5"/>
      <c r="E106" s="5"/>
      <c r="I106" s="9" t="s">
        <v>273</v>
      </c>
      <c r="J106" s="594"/>
      <c r="K106" s="594"/>
      <c r="L106" s="594"/>
      <c r="M106" s="594"/>
      <c r="N106" s="594"/>
      <c r="O106" s="594"/>
      <c r="P106" s="594"/>
      <c r="Q106" s="594"/>
      <c r="R106" s="594"/>
      <c r="S106" s="594"/>
      <c r="T106" s="594"/>
      <c r="U106" s="594"/>
      <c r="V106" s="594"/>
      <c r="W106" s="594"/>
      <c r="X106" s="594"/>
      <c r="Y106" s="594"/>
      <c r="Z106" s="594"/>
      <c r="AA106" s="594"/>
      <c r="AE106" s="9" t="s">
        <v>273</v>
      </c>
      <c r="AF106" s="594"/>
      <c r="AG106" s="594"/>
      <c r="AH106" s="594"/>
      <c r="AI106" s="594"/>
      <c r="AJ106" s="594"/>
      <c r="AK106" s="594"/>
      <c r="AL106" s="594"/>
      <c r="AM106" s="594"/>
      <c r="AN106" s="594"/>
      <c r="AO106" s="594"/>
      <c r="AP106" s="594"/>
      <c r="AQ106" s="594"/>
      <c r="AR106" s="594"/>
      <c r="AS106" s="594"/>
      <c r="AT106" s="594"/>
      <c r="AU106" s="594"/>
      <c r="AV106" s="594"/>
      <c r="AW106" s="594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5"/>
      <c r="DO106" s="5"/>
      <c r="DP106" s="5"/>
      <c r="DQ106" s="5"/>
      <c r="DR106" s="5"/>
      <c r="DS106" s="5"/>
      <c r="DT106" s="5"/>
      <c r="DU106" s="5"/>
      <c r="DV106" s="5"/>
      <c r="DW106" s="5"/>
      <c r="DX106" s="5"/>
      <c r="DY106" s="5"/>
      <c r="DZ106" s="5"/>
      <c r="EA106" s="5"/>
      <c r="EB106" s="11"/>
      <c r="EC106" s="11"/>
      <c r="ED106" s="11"/>
      <c r="EE106" s="11"/>
      <c r="EF106" s="11"/>
      <c r="EG106" s="11"/>
      <c r="EH106" s="11"/>
      <c r="EI106" s="11"/>
      <c r="EJ106" s="11"/>
      <c r="EK106" s="11"/>
      <c r="EL106" s="11"/>
      <c r="EM106" s="11"/>
      <c r="EN106" s="11"/>
      <c r="EO106" s="11"/>
      <c r="EP106" s="11"/>
      <c r="EQ106" s="11"/>
      <c r="ER106" s="11"/>
      <c r="ES106" s="11"/>
      <c r="ET106" s="11"/>
      <c r="EU106" s="11"/>
      <c r="EV106" s="11"/>
      <c r="EW106" s="11"/>
      <c r="EX106" s="11"/>
      <c r="EY106" s="11"/>
      <c r="EZ106" s="11"/>
      <c r="FA106" s="11"/>
      <c r="FB106" s="11"/>
      <c r="FC106" s="11"/>
    </row>
    <row r="107" spans="1:159" ht="12" customHeight="1" x14ac:dyDescent="0.25">
      <c r="D107" s="5"/>
      <c r="E107" s="5"/>
      <c r="I107" s="9" t="s">
        <v>20</v>
      </c>
      <c r="J107" s="795"/>
      <c r="K107" s="795"/>
      <c r="L107" s="795"/>
      <c r="M107" s="795"/>
      <c r="N107" s="795"/>
      <c r="O107" s="795"/>
      <c r="P107" s="795"/>
      <c r="Q107" s="795"/>
      <c r="R107" s="795"/>
      <c r="S107" s="795"/>
      <c r="T107" s="795"/>
      <c r="U107" s="795"/>
      <c r="V107" s="795"/>
      <c r="W107" s="795"/>
      <c r="X107" s="795"/>
      <c r="Y107" s="795"/>
      <c r="Z107" s="795"/>
      <c r="AA107" s="795"/>
      <c r="AE107" s="9" t="s">
        <v>20</v>
      </c>
      <c r="AF107" s="795"/>
      <c r="AG107" s="795"/>
      <c r="AH107" s="795"/>
      <c r="AI107" s="795"/>
      <c r="AJ107" s="795"/>
      <c r="AK107" s="795"/>
      <c r="AL107" s="795"/>
      <c r="AM107" s="795"/>
      <c r="AN107" s="795"/>
      <c r="AO107" s="795"/>
      <c r="AP107" s="795"/>
      <c r="AQ107" s="795"/>
      <c r="AR107" s="795"/>
      <c r="AS107" s="795"/>
      <c r="AT107" s="795"/>
      <c r="AU107" s="795"/>
      <c r="AV107" s="795"/>
      <c r="AW107" s="79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5"/>
      <c r="DO107" s="5"/>
      <c r="DP107" s="5"/>
      <c r="DQ107" s="5"/>
      <c r="DR107" s="5"/>
      <c r="DS107" s="5"/>
      <c r="DT107" s="5"/>
      <c r="DU107" s="5"/>
      <c r="DV107" s="5"/>
      <c r="DW107" s="5"/>
      <c r="DX107" s="5"/>
      <c r="DY107" s="5"/>
      <c r="DZ107" s="5"/>
      <c r="EA107" s="5"/>
      <c r="EB107" s="11"/>
      <c r="EC107" s="11"/>
      <c r="ED107" s="11"/>
      <c r="EE107" s="11"/>
      <c r="EF107" s="11"/>
      <c r="EG107" s="11"/>
      <c r="EH107" s="11"/>
      <c r="EI107" s="11"/>
      <c r="EJ107" s="11"/>
      <c r="EK107" s="11"/>
      <c r="EL107" s="11"/>
      <c r="EM107" s="11"/>
      <c r="EN107" s="11"/>
      <c r="EO107" s="11"/>
      <c r="EP107" s="11"/>
      <c r="EQ107" s="11"/>
      <c r="ER107" s="11"/>
      <c r="ES107" s="11"/>
      <c r="ET107" s="11"/>
      <c r="EU107" s="11"/>
      <c r="EV107" s="11"/>
      <c r="EW107" s="11"/>
      <c r="EX107" s="11"/>
      <c r="EY107" s="11"/>
      <c r="EZ107" s="11"/>
      <c r="FA107" s="11"/>
      <c r="FB107" s="11"/>
      <c r="FC107" s="11"/>
    </row>
    <row r="108" spans="1:159" ht="12" customHeight="1" x14ac:dyDescent="0.25">
      <c r="D108" s="5"/>
      <c r="E108" s="5"/>
      <c r="I108" s="9" t="s">
        <v>21</v>
      </c>
      <c r="J108" s="792"/>
      <c r="K108" s="792"/>
      <c r="L108" s="792"/>
      <c r="M108" s="792"/>
      <c r="N108" s="792"/>
      <c r="O108" s="792"/>
      <c r="P108"/>
      <c r="Q108"/>
      <c r="R108"/>
      <c r="S108" s="115"/>
      <c r="T108" s="115" t="s">
        <v>23</v>
      </c>
      <c r="U108" s="793"/>
      <c r="V108" s="793"/>
      <c r="W108" s="793"/>
      <c r="X108" s="793"/>
      <c r="Y108" s="793"/>
      <c r="Z108" s="793"/>
      <c r="AA108" s="793"/>
      <c r="AE108" s="9" t="s">
        <v>21</v>
      </c>
      <c r="AF108" s="177"/>
      <c r="AG108" s="177"/>
      <c r="AH108" s="177"/>
      <c r="AI108" s="177"/>
      <c r="AJ108" s="177"/>
      <c r="AK108" s="177"/>
      <c r="AL108"/>
      <c r="AM108"/>
      <c r="AN108"/>
      <c r="AO108" s="115"/>
      <c r="AP108" s="115" t="s">
        <v>23</v>
      </c>
      <c r="AQ108" s="178"/>
      <c r="AR108" s="178"/>
      <c r="AS108" s="178"/>
      <c r="AT108" s="178"/>
      <c r="AU108" s="178"/>
      <c r="AV108" s="178"/>
      <c r="AW108" s="178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/>
      <c r="DN108" s="5"/>
      <c r="DO108" s="5"/>
      <c r="DP108" s="5"/>
      <c r="DQ108" s="5"/>
      <c r="DR108" s="5"/>
      <c r="DS108" s="5"/>
      <c r="DT108" s="5"/>
      <c r="DU108" s="5"/>
      <c r="DV108" s="5"/>
      <c r="DW108" s="5"/>
      <c r="DX108" s="5"/>
      <c r="DY108" s="5"/>
      <c r="DZ108" s="5"/>
      <c r="EA108" s="5"/>
      <c r="EB108" s="11"/>
      <c r="EC108" s="11"/>
      <c r="ED108" s="11"/>
      <c r="EE108" s="11"/>
      <c r="EF108" s="11"/>
      <c r="EG108" s="11"/>
      <c r="EH108" s="11"/>
      <c r="EI108" s="11"/>
      <c r="EJ108" s="11"/>
      <c r="EK108" s="11"/>
      <c r="EL108" s="11"/>
      <c r="EM108" s="11"/>
      <c r="EN108" s="11"/>
      <c r="EO108" s="11"/>
      <c r="EP108" s="11"/>
      <c r="EQ108" s="11"/>
      <c r="ER108" s="11"/>
      <c r="ES108" s="11"/>
      <c r="ET108" s="11"/>
      <c r="EU108" s="11"/>
      <c r="EV108" s="11"/>
      <c r="EW108" s="11"/>
      <c r="EX108" s="11"/>
      <c r="EY108" s="11"/>
      <c r="EZ108" s="11"/>
      <c r="FA108" s="11"/>
      <c r="FB108" s="11"/>
      <c r="FC108" s="11"/>
    </row>
    <row r="109" spans="1:159" ht="12" customHeight="1" x14ac:dyDescent="0.25">
      <c r="D109" s="5"/>
      <c r="E109" s="5"/>
      <c r="I109" s="9" t="s">
        <v>458</v>
      </c>
      <c r="J109" s="795"/>
      <c r="K109" s="795"/>
      <c r="L109" s="795"/>
      <c r="M109" s="795"/>
      <c r="N109" s="795"/>
      <c r="O109" s="795"/>
      <c r="P109" s="795"/>
      <c r="Q109" s="795"/>
      <c r="R109" s="795"/>
      <c r="S109" s="795"/>
      <c r="T109" s="795"/>
      <c r="U109" s="795"/>
      <c r="V109" s="795"/>
      <c r="W109" s="795"/>
      <c r="X109" s="795"/>
      <c r="Y109" s="795"/>
      <c r="Z109" s="795"/>
      <c r="AA109" s="795"/>
      <c r="AE109" s="9"/>
      <c r="AF109" s="794"/>
      <c r="AG109" s="794"/>
      <c r="AH109" s="794"/>
      <c r="AI109" s="794"/>
      <c r="AJ109" s="794"/>
      <c r="AK109" s="794"/>
      <c r="AL109" s="794"/>
      <c r="AM109" s="794"/>
      <c r="AN109" s="794"/>
      <c r="AO109" s="794"/>
      <c r="AP109" s="794"/>
      <c r="AQ109" s="794"/>
      <c r="AR109" s="794"/>
      <c r="AS109" s="794"/>
      <c r="AT109" s="794"/>
      <c r="AU109" s="794"/>
      <c r="AV109" s="794"/>
      <c r="AW109" s="794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5"/>
      <c r="DN109" s="5"/>
      <c r="DO109" s="5"/>
      <c r="DP109" s="5"/>
      <c r="DQ109" s="5"/>
      <c r="DR109" s="5"/>
      <c r="DS109" s="5"/>
      <c r="DT109" s="5"/>
      <c r="DU109" s="5"/>
      <c r="DV109" s="5"/>
      <c r="DW109" s="5"/>
      <c r="DX109" s="5"/>
      <c r="DY109" s="5"/>
      <c r="DZ109" s="5"/>
      <c r="EA109" s="5"/>
      <c r="EB109" s="11"/>
      <c r="EC109" s="11"/>
      <c r="ED109" s="11"/>
      <c r="EE109" s="11"/>
      <c r="EF109" s="11"/>
      <c r="EG109" s="11"/>
      <c r="EH109" s="11"/>
      <c r="EI109" s="11"/>
      <c r="EJ109" s="11"/>
      <c r="EK109" s="11"/>
      <c r="EL109" s="11"/>
      <c r="EM109" s="11"/>
      <c r="EN109" s="11"/>
      <c r="EO109" s="11"/>
      <c r="EP109" s="11"/>
      <c r="EQ109" s="11"/>
      <c r="ER109" s="11"/>
      <c r="ES109" s="11"/>
      <c r="ET109" s="11"/>
      <c r="EU109" s="11"/>
      <c r="EV109" s="11"/>
      <c r="EW109" s="11"/>
      <c r="EX109" s="11"/>
      <c r="EY109" s="11"/>
      <c r="EZ109" s="11"/>
      <c r="FA109" s="11"/>
      <c r="FB109" s="11"/>
      <c r="FC109" s="11"/>
    </row>
    <row r="110" spans="1:159" s="42" customFormat="1" ht="3.9" customHeight="1" x14ac:dyDescent="0.25">
      <c r="A110" s="8"/>
      <c r="B110" s="8"/>
      <c r="C110" s="8"/>
      <c r="D110" s="5"/>
      <c r="E110" s="5"/>
      <c r="F110" s="12"/>
      <c r="G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X110" s="59"/>
      <c r="AZ110" s="11"/>
      <c r="BA110" s="11"/>
      <c r="BB110" s="11"/>
      <c r="BC110" s="11"/>
      <c r="BD110" s="11"/>
      <c r="BE110" s="11"/>
      <c r="BF110" s="11"/>
      <c r="BG110" s="11"/>
      <c r="BH110" s="11"/>
      <c r="BI110" s="11"/>
      <c r="BJ110" s="11"/>
      <c r="BK110" s="11"/>
      <c r="BL110" s="11"/>
      <c r="BM110" s="11"/>
      <c r="BN110" s="11"/>
      <c r="BO110" s="11"/>
      <c r="BP110" s="11"/>
      <c r="BQ110" s="11"/>
      <c r="BR110" s="11"/>
      <c r="BS110" s="11"/>
      <c r="BT110" s="11"/>
      <c r="BU110" s="11"/>
      <c r="BV110" s="11"/>
      <c r="BW110" s="11"/>
      <c r="BX110" s="11"/>
      <c r="BY110" s="11"/>
      <c r="BZ110" s="11"/>
      <c r="CA110" s="11"/>
      <c r="CB110" s="11"/>
      <c r="CC110" s="11"/>
      <c r="CD110" s="11"/>
      <c r="CE110" s="11"/>
      <c r="CF110" s="11"/>
      <c r="CG110" s="11"/>
      <c r="CH110" s="11"/>
      <c r="CI110" s="11"/>
      <c r="CJ110" s="11"/>
      <c r="CK110" s="11"/>
      <c r="CL110" s="11"/>
      <c r="CM110" s="11"/>
      <c r="CN110" s="11"/>
      <c r="CO110" s="11"/>
      <c r="CP110" s="11"/>
      <c r="CQ110" s="11"/>
      <c r="CR110" s="11"/>
      <c r="CS110" s="11"/>
      <c r="CT110" s="11"/>
      <c r="CU110" s="11"/>
      <c r="CV110" s="11"/>
      <c r="CW110" s="11"/>
      <c r="CX110" s="11"/>
      <c r="CY110" s="11"/>
      <c r="CZ110" s="11"/>
      <c r="DA110" s="11"/>
      <c r="DB110" s="11"/>
      <c r="DC110" s="11"/>
      <c r="DD110" s="11"/>
      <c r="DE110" s="11"/>
      <c r="DF110" s="11"/>
      <c r="DG110" s="11"/>
      <c r="DH110" s="11"/>
      <c r="DI110" s="11"/>
      <c r="DJ110" s="11"/>
      <c r="DK110" s="11"/>
      <c r="DL110" s="11"/>
      <c r="DM110" s="11"/>
      <c r="DN110" s="11"/>
      <c r="DO110" s="11"/>
      <c r="DP110" s="11"/>
      <c r="DQ110" s="11"/>
      <c r="DR110" s="11"/>
      <c r="DS110" s="11"/>
      <c r="DT110" s="11"/>
      <c r="DU110" s="11"/>
      <c r="DV110" s="11"/>
      <c r="DW110" s="11"/>
      <c r="DX110" s="11"/>
      <c r="DY110" s="11"/>
      <c r="DZ110" s="11"/>
      <c r="EA110" s="11"/>
      <c r="EB110" s="11"/>
      <c r="EC110" s="11"/>
      <c r="ED110" s="11"/>
      <c r="EE110" s="11"/>
      <c r="EF110" s="11"/>
      <c r="EG110" s="11"/>
      <c r="EH110" s="11"/>
      <c r="EI110" s="11"/>
      <c r="EJ110" s="11"/>
      <c r="EK110" s="11"/>
      <c r="EL110" s="11"/>
      <c r="EM110" s="11"/>
      <c r="EN110" s="11"/>
      <c r="EO110" s="11"/>
      <c r="EP110" s="11"/>
      <c r="EQ110" s="11"/>
      <c r="ER110" s="11"/>
      <c r="ES110" s="11"/>
      <c r="ET110" s="11"/>
      <c r="EU110" s="11"/>
      <c r="EV110" s="11"/>
      <c r="EW110" s="11"/>
      <c r="EX110" s="11"/>
      <c r="EY110" s="11"/>
      <c r="EZ110" s="11"/>
      <c r="FA110" s="11"/>
      <c r="FB110" s="11"/>
      <c r="FC110" s="11"/>
    </row>
    <row r="111" spans="1:159" ht="12" customHeight="1" x14ac:dyDescent="0.25">
      <c r="D111" s="5"/>
      <c r="E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DO111" s="12"/>
      <c r="DP111" s="12"/>
      <c r="DQ111" s="12"/>
      <c r="DR111" s="12"/>
      <c r="DS111" s="12"/>
      <c r="DT111" s="12"/>
      <c r="DU111" s="12"/>
      <c r="DV111" s="12"/>
      <c r="DW111" s="12"/>
      <c r="EB111" s="11"/>
      <c r="EC111" s="11"/>
      <c r="ED111" s="11"/>
      <c r="EE111" s="11"/>
      <c r="EF111" s="11"/>
      <c r="EG111" s="11"/>
      <c r="EH111" s="11"/>
      <c r="EI111" s="11"/>
      <c r="EJ111" s="11"/>
      <c r="EK111" s="11"/>
      <c r="EL111" s="11"/>
      <c r="EM111" s="11"/>
      <c r="EN111" s="11"/>
      <c r="EO111" s="11"/>
      <c r="EP111" s="11"/>
      <c r="EQ111" s="11"/>
      <c r="ER111" s="11"/>
      <c r="ES111" s="11"/>
      <c r="ET111" s="11"/>
      <c r="EU111" s="11"/>
      <c r="EV111" s="11"/>
      <c r="EW111" s="11"/>
      <c r="EX111" s="11"/>
      <c r="EY111" s="11"/>
      <c r="EZ111" s="11"/>
      <c r="FA111" s="11"/>
      <c r="FB111" s="11"/>
      <c r="FC111" s="11"/>
    </row>
    <row r="112" spans="1:159" ht="12" customHeight="1" x14ac:dyDescent="0.25">
      <c r="D112" s="5"/>
      <c r="E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EB112" s="11"/>
      <c r="EC112" s="11"/>
      <c r="ED112" s="11"/>
      <c r="EE112" s="11"/>
      <c r="EF112" s="11"/>
      <c r="EG112" s="11"/>
      <c r="EH112" s="11"/>
      <c r="EI112" s="11"/>
      <c r="EJ112" s="11"/>
      <c r="EK112" s="11"/>
      <c r="EL112" s="11"/>
      <c r="EM112" s="11"/>
      <c r="EN112" s="11"/>
      <c r="EO112" s="11"/>
      <c r="EP112" s="11"/>
      <c r="EQ112" s="11"/>
      <c r="ER112" s="11"/>
      <c r="ES112" s="11"/>
      <c r="ET112" s="11"/>
      <c r="EU112" s="11"/>
      <c r="EV112" s="11"/>
      <c r="EW112" s="11"/>
      <c r="EX112" s="11"/>
      <c r="EY112" s="11"/>
      <c r="EZ112" s="11"/>
      <c r="FA112" s="11"/>
      <c r="FB112" s="11"/>
      <c r="FC112" s="11"/>
    </row>
    <row r="113" spans="1:159" ht="12" customHeight="1" x14ac:dyDescent="0.25">
      <c r="D113" s="5"/>
      <c r="E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DX113" s="12"/>
      <c r="DY113" s="12"/>
      <c r="DZ113" s="12"/>
      <c r="EA113" s="12"/>
      <c r="EP113" s="11"/>
      <c r="EQ113" s="11"/>
      <c r="ER113" s="11"/>
      <c r="ES113" s="11"/>
      <c r="ET113" s="11"/>
      <c r="EU113" s="11"/>
      <c r="EV113" s="11"/>
      <c r="EW113" s="11"/>
      <c r="EX113" s="11"/>
      <c r="EY113" s="11"/>
      <c r="EZ113" s="11"/>
      <c r="FA113" s="11"/>
      <c r="FB113" s="11"/>
      <c r="FC113" s="11"/>
    </row>
    <row r="114" spans="1:159" ht="6" customHeight="1" x14ac:dyDescent="0.25">
      <c r="D114" s="5"/>
      <c r="E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EB114" s="11"/>
      <c r="EC114" s="11"/>
      <c r="ED114" s="11"/>
      <c r="EE114" s="11"/>
      <c r="EF114" s="11"/>
      <c r="EG114" s="11"/>
      <c r="EH114" s="11"/>
      <c r="EI114" s="11"/>
      <c r="EJ114" s="11"/>
      <c r="EK114" s="11"/>
      <c r="EL114" s="11"/>
      <c r="EM114" s="11"/>
      <c r="EN114" s="11"/>
      <c r="EO114" s="11"/>
      <c r="EP114" s="11"/>
      <c r="EQ114" s="11"/>
      <c r="ER114" s="11"/>
      <c r="ES114" s="11"/>
      <c r="ET114" s="11"/>
      <c r="EU114" s="11"/>
      <c r="EV114" s="11"/>
      <c r="EW114" s="11"/>
      <c r="EX114" s="11"/>
      <c r="EY114" s="11"/>
      <c r="EZ114" s="11"/>
      <c r="FA114" s="11"/>
      <c r="FB114" s="11"/>
      <c r="FC114" s="11"/>
    </row>
    <row r="115" spans="1:159" ht="12" customHeight="1" x14ac:dyDescent="0.25">
      <c r="D115" s="5"/>
      <c r="E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DO115" s="12"/>
      <c r="DP115" s="12"/>
      <c r="DQ115" s="12"/>
      <c r="DR115" s="12"/>
      <c r="DS115" s="12"/>
      <c r="DT115" s="12"/>
      <c r="DU115" s="12"/>
      <c r="DV115" s="12"/>
      <c r="DW115" s="12"/>
      <c r="EB115" s="11"/>
      <c r="EC115" s="11"/>
      <c r="ED115" s="11"/>
      <c r="EE115" s="11"/>
      <c r="EF115" s="11"/>
      <c r="EG115" s="11"/>
      <c r="EH115" s="11"/>
      <c r="EI115" s="11"/>
      <c r="EJ115" s="11"/>
      <c r="EK115" s="11"/>
      <c r="EL115" s="11"/>
      <c r="EM115" s="11"/>
      <c r="EN115" s="11"/>
      <c r="EO115" s="11"/>
      <c r="EP115" s="11"/>
      <c r="EQ115" s="11"/>
      <c r="ER115" s="11"/>
      <c r="ES115" s="11"/>
      <c r="ET115" s="11"/>
      <c r="EU115" s="11"/>
      <c r="EV115" s="11"/>
      <c r="EW115" s="11"/>
      <c r="EX115" s="11"/>
      <c r="EY115" s="11"/>
      <c r="EZ115" s="11"/>
      <c r="FA115" s="11"/>
      <c r="FB115" s="11"/>
      <c r="FC115" s="11"/>
    </row>
    <row r="116" spans="1:159" ht="12" customHeight="1" x14ac:dyDescent="0.25">
      <c r="D116" s="5"/>
      <c r="E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DO116" s="12"/>
      <c r="DP116" s="12"/>
      <c r="DQ116" s="12"/>
      <c r="DR116" s="12"/>
      <c r="DS116" s="12"/>
      <c r="DT116" s="12"/>
      <c r="DU116" s="12"/>
      <c r="DV116" s="12"/>
      <c r="DW116" s="12"/>
      <c r="EB116" s="11"/>
      <c r="EC116" s="11"/>
      <c r="ED116" s="11"/>
      <c r="EE116" s="11"/>
      <c r="EF116" s="11"/>
      <c r="EG116" s="11"/>
      <c r="EH116" s="11"/>
      <c r="EI116" s="11"/>
      <c r="EJ116" s="11"/>
      <c r="EK116" s="11"/>
      <c r="EL116" s="11"/>
      <c r="EM116" s="11"/>
      <c r="EN116" s="11"/>
      <c r="EO116" s="11"/>
      <c r="EP116" s="11"/>
      <c r="EQ116" s="11"/>
      <c r="ER116" s="11"/>
      <c r="ES116" s="11"/>
      <c r="ET116" s="11"/>
      <c r="EU116" s="11"/>
      <c r="EV116" s="11"/>
      <c r="EW116" s="11"/>
      <c r="EX116" s="11"/>
      <c r="EY116" s="11"/>
      <c r="EZ116" s="11"/>
      <c r="FA116" s="11"/>
      <c r="FB116" s="11"/>
      <c r="FC116" s="11"/>
    </row>
    <row r="117" spans="1:159" ht="12" customHeight="1" x14ac:dyDescent="0.25">
      <c r="D117" s="5"/>
      <c r="E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DX117" s="12"/>
      <c r="DY117" s="12"/>
      <c r="DZ117" s="12"/>
      <c r="EA117" s="12"/>
      <c r="EI117" s="11"/>
      <c r="EJ117" s="11"/>
      <c r="EK117" s="11"/>
      <c r="EL117" s="11"/>
      <c r="EM117" s="11"/>
      <c r="EN117" s="11"/>
      <c r="EO117" s="11"/>
      <c r="EP117" s="11"/>
      <c r="EQ117" s="11"/>
      <c r="ER117" s="11"/>
      <c r="ES117" s="11"/>
      <c r="ET117" s="11"/>
      <c r="EU117" s="11"/>
      <c r="EV117" s="11"/>
      <c r="EW117" s="11"/>
      <c r="EX117" s="11"/>
      <c r="EY117" s="11"/>
      <c r="EZ117" s="11"/>
      <c r="FA117" s="11"/>
      <c r="FB117" s="11"/>
      <c r="FC117" s="11"/>
    </row>
    <row r="118" spans="1:159" ht="12" customHeight="1" x14ac:dyDescent="0.25">
      <c r="D118" s="5"/>
      <c r="E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BA118" s="42"/>
      <c r="BB118" s="42"/>
      <c r="BC118" s="42"/>
      <c r="BD118" s="42"/>
      <c r="BE118" s="42"/>
      <c r="BF118" s="42"/>
      <c r="BG118" s="42"/>
      <c r="BH118" s="42"/>
      <c r="BI118" s="42"/>
      <c r="BJ118" s="42"/>
      <c r="BK118" s="42"/>
      <c r="BL118" s="42"/>
      <c r="BM118" s="42"/>
      <c r="BN118" s="42"/>
      <c r="BO118" s="42"/>
      <c r="BP118" s="42"/>
      <c r="BQ118" s="42"/>
      <c r="BR118" s="42"/>
      <c r="BS118" s="42"/>
      <c r="BT118" s="42"/>
      <c r="BU118" s="42"/>
      <c r="BV118" s="42"/>
      <c r="BW118" s="42"/>
      <c r="BX118" s="42"/>
      <c r="BY118" s="42"/>
      <c r="BZ118" s="42"/>
      <c r="CA118" s="42"/>
      <c r="CB118" s="42"/>
      <c r="CC118" s="42"/>
      <c r="CD118" s="42"/>
      <c r="CE118" s="42"/>
      <c r="CF118" s="42"/>
      <c r="CG118" s="42"/>
      <c r="CH118" s="42"/>
      <c r="CI118" s="42"/>
      <c r="CJ118" s="42"/>
      <c r="CK118" s="42"/>
      <c r="CL118" s="42"/>
      <c r="CM118" s="42"/>
      <c r="CN118" s="42"/>
      <c r="CO118" s="42"/>
      <c r="CP118" s="42"/>
      <c r="CQ118" s="42"/>
      <c r="CR118" s="42"/>
      <c r="CS118" s="42"/>
      <c r="CT118" s="42"/>
      <c r="CU118" s="42"/>
      <c r="CV118" s="42"/>
      <c r="CW118" s="42"/>
      <c r="CX118" s="42"/>
      <c r="CY118" s="42"/>
      <c r="CZ118" s="42"/>
      <c r="DA118" s="42"/>
      <c r="DB118" s="42"/>
      <c r="DC118" s="42"/>
      <c r="DD118" s="42"/>
      <c r="DE118" s="42"/>
      <c r="DF118" s="42"/>
      <c r="DG118" s="42"/>
      <c r="DH118" s="42"/>
      <c r="DI118" s="42"/>
      <c r="DJ118" s="42"/>
      <c r="DK118" s="42"/>
      <c r="DL118" s="42"/>
      <c r="DM118" s="42"/>
      <c r="DN118" s="42"/>
      <c r="DO118" s="42"/>
      <c r="DP118" s="42"/>
      <c r="DQ118" s="42"/>
      <c r="DR118" s="42"/>
      <c r="DS118" s="42"/>
      <c r="DT118" s="42"/>
      <c r="DU118" s="42"/>
      <c r="DV118" s="42"/>
      <c r="DW118" s="42"/>
      <c r="DX118" s="12"/>
      <c r="DY118" s="12"/>
      <c r="DZ118" s="12"/>
      <c r="EA118" s="12"/>
      <c r="EJ118" s="11"/>
      <c r="EK118" s="11"/>
      <c r="EL118" s="11"/>
      <c r="EM118" s="11"/>
      <c r="EN118" s="11"/>
      <c r="EO118" s="11"/>
      <c r="EP118" s="11"/>
      <c r="EQ118" s="11"/>
      <c r="ER118" s="11"/>
      <c r="ES118" s="11"/>
      <c r="ET118" s="11"/>
      <c r="EU118" s="11"/>
      <c r="EV118" s="11"/>
      <c r="EW118" s="11"/>
      <c r="EX118" s="11"/>
      <c r="EY118" s="11"/>
      <c r="EZ118" s="11"/>
      <c r="FA118" s="11"/>
      <c r="FB118" s="11"/>
      <c r="FC118" s="11"/>
    </row>
    <row r="119" spans="1:159" ht="12" customHeight="1" x14ac:dyDescent="0.25">
      <c r="D119" s="5"/>
      <c r="E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EB119" s="11"/>
      <c r="EC119" s="11"/>
      <c r="ED119" s="11"/>
      <c r="EE119" s="11"/>
      <c r="EF119" s="11"/>
      <c r="EG119" s="11"/>
      <c r="EH119" s="11"/>
      <c r="EI119" s="11"/>
      <c r="EJ119" s="11"/>
      <c r="EK119" s="11"/>
      <c r="EL119" s="11"/>
      <c r="EM119" s="11"/>
      <c r="EN119" s="11"/>
      <c r="EO119" s="11"/>
      <c r="EP119" s="11"/>
      <c r="EQ119" s="11"/>
      <c r="ER119" s="11"/>
      <c r="ES119" s="11"/>
      <c r="ET119" s="11"/>
      <c r="EU119" s="11"/>
      <c r="EV119" s="11"/>
      <c r="EW119" s="11"/>
      <c r="EX119" s="11"/>
      <c r="EY119" s="11"/>
      <c r="EZ119" s="11"/>
      <c r="FA119" s="11"/>
      <c r="FB119" s="11"/>
      <c r="FC119" s="11"/>
    </row>
    <row r="120" spans="1:159" s="42" customFormat="1" ht="3.9" customHeight="1" x14ac:dyDescent="0.25">
      <c r="A120" s="8"/>
      <c r="B120" s="8"/>
      <c r="C120" s="8"/>
      <c r="D120" s="5"/>
      <c r="E120" s="5"/>
      <c r="F120" s="12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X120" s="59"/>
      <c r="AZ120" s="11"/>
      <c r="EH120" s="11"/>
      <c r="EI120" s="11"/>
      <c r="EJ120" s="11"/>
      <c r="EK120" s="11"/>
      <c r="EL120" s="11"/>
      <c r="EM120" s="11"/>
      <c r="EN120" s="11"/>
      <c r="EO120" s="11"/>
      <c r="EP120" s="11"/>
      <c r="EQ120" s="11"/>
      <c r="ER120" s="11"/>
      <c r="ES120" s="11"/>
      <c r="ET120" s="11"/>
      <c r="EU120" s="11"/>
      <c r="EV120" s="11"/>
      <c r="EW120" s="11"/>
      <c r="EX120" s="11"/>
      <c r="EY120" s="11"/>
      <c r="EZ120" s="11"/>
      <c r="FA120" s="11"/>
      <c r="FB120" s="11"/>
      <c r="FC120" s="11"/>
    </row>
    <row r="121" spans="1:159" s="42" customFormat="1" ht="12" customHeight="1" x14ac:dyDescent="0.25">
      <c r="A121" s="8"/>
      <c r="B121" s="8"/>
      <c r="C121" s="8"/>
      <c r="D121" s="8"/>
      <c r="E121" s="9"/>
      <c r="F121" s="12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 s="11"/>
      <c r="BA121" s="11"/>
      <c r="BB121" s="11"/>
      <c r="BC121" s="11"/>
      <c r="BD121" s="11"/>
      <c r="BE121" s="11"/>
      <c r="BF121" s="11"/>
      <c r="BG121" s="11"/>
      <c r="BH121" s="11"/>
      <c r="BI121" s="11"/>
      <c r="BJ121" s="11"/>
      <c r="BK121" s="11"/>
      <c r="BL121" s="11"/>
      <c r="BM121" s="11"/>
      <c r="BN121" s="11"/>
      <c r="BO121" s="11"/>
      <c r="BP121" s="11"/>
      <c r="BQ121" s="11"/>
      <c r="BR121" s="11"/>
      <c r="BS121" s="11"/>
      <c r="BT121" s="11"/>
      <c r="BU121" s="11"/>
      <c r="BV121" s="11"/>
      <c r="BW121" s="11"/>
      <c r="BX121" s="11"/>
      <c r="BY121" s="11"/>
      <c r="BZ121" s="11"/>
      <c r="CA121" s="11"/>
      <c r="CB121" s="11"/>
      <c r="CC121" s="11"/>
      <c r="CD121" s="11"/>
      <c r="CE121" s="11"/>
      <c r="CF121" s="11"/>
      <c r="CG121" s="11"/>
      <c r="CH121" s="11"/>
      <c r="CI121" s="11"/>
      <c r="CJ121" s="11"/>
      <c r="CK121" s="11"/>
      <c r="CL121" s="11"/>
      <c r="CM121" s="11"/>
      <c r="CN121" s="11"/>
      <c r="CO121" s="11"/>
      <c r="CP121" s="11"/>
      <c r="CQ121" s="11"/>
      <c r="CR121" s="11"/>
      <c r="CS121" s="11"/>
      <c r="CT121" s="11"/>
      <c r="CU121" s="11"/>
      <c r="CV121" s="11"/>
      <c r="CW121" s="11"/>
      <c r="CX121" s="11"/>
      <c r="CY121" s="11"/>
      <c r="CZ121" s="11"/>
      <c r="DA121" s="11"/>
      <c r="DB121" s="11"/>
      <c r="DC121" s="11"/>
      <c r="DD121" s="11"/>
      <c r="DE121" s="11"/>
      <c r="DF121" s="11"/>
      <c r="DG121" s="11"/>
      <c r="DH121" s="11"/>
      <c r="DI121" s="11"/>
      <c r="DJ121" s="11"/>
      <c r="DK121" s="11"/>
      <c r="DL121" s="11"/>
      <c r="DM121" s="11"/>
      <c r="DN121" s="11"/>
      <c r="DO121" s="11"/>
      <c r="DP121" s="11"/>
      <c r="DQ121" s="11"/>
      <c r="DR121" s="11"/>
      <c r="DS121" s="11"/>
      <c r="DT121" s="11"/>
      <c r="DU121" s="11"/>
      <c r="DV121" s="11"/>
      <c r="DW121" s="11"/>
      <c r="DX121" s="11"/>
      <c r="DY121" s="11"/>
      <c r="DZ121" s="11"/>
      <c r="EA121" s="11"/>
      <c r="EB121" s="11"/>
      <c r="EC121" s="11"/>
      <c r="ED121" s="11"/>
      <c r="EE121" s="11"/>
      <c r="EF121" s="11"/>
      <c r="EG121" s="11"/>
      <c r="EH121" s="11"/>
      <c r="EI121" s="11"/>
      <c r="EJ121" s="11"/>
      <c r="EK121" s="11"/>
      <c r="EL121" s="11"/>
      <c r="EM121" s="11"/>
      <c r="EN121" s="11"/>
      <c r="EO121" s="11"/>
      <c r="EP121" s="11"/>
      <c r="EQ121" s="11"/>
      <c r="ER121" s="11"/>
      <c r="ES121" s="11"/>
      <c r="ET121" s="11"/>
      <c r="EU121" s="11"/>
      <c r="EV121" s="11"/>
      <c r="EW121" s="11"/>
      <c r="EX121" s="11"/>
      <c r="EY121" s="11"/>
      <c r="EZ121" s="11"/>
      <c r="FA121" s="11"/>
      <c r="FB121" s="11"/>
      <c r="FC121" s="11"/>
    </row>
    <row r="122" spans="1:159" s="42" customFormat="1" ht="12" customHeight="1" x14ac:dyDescent="0.25">
      <c r="A122" s="8"/>
      <c r="B122" s="8"/>
      <c r="C122" s="8"/>
      <c r="D122" s="8"/>
      <c r="E122" s="9"/>
      <c r="F122" s="12"/>
      <c r="G122" s="5"/>
      <c r="H122" s="5"/>
      <c r="I122" s="5"/>
      <c r="J122" s="5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BA122" s="11"/>
      <c r="BB122" s="11"/>
      <c r="BC122" s="11"/>
      <c r="BD122" s="11"/>
      <c r="BE122" s="11"/>
      <c r="BF122" s="11"/>
      <c r="BG122" s="11"/>
      <c r="BH122" s="11"/>
      <c r="BI122" s="11"/>
      <c r="BJ122" s="11"/>
      <c r="BK122" s="11"/>
      <c r="BL122" s="11"/>
      <c r="BM122" s="11"/>
      <c r="BN122" s="11"/>
      <c r="BO122" s="11"/>
      <c r="BP122" s="11"/>
      <c r="BQ122" s="11"/>
      <c r="BR122" s="11"/>
      <c r="BS122" s="11"/>
      <c r="BT122" s="11"/>
      <c r="BU122" s="11"/>
      <c r="BV122" s="11"/>
      <c r="BW122" s="11"/>
      <c r="BX122" s="11"/>
      <c r="BY122" s="11"/>
      <c r="BZ122" s="11"/>
      <c r="CA122" s="11"/>
      <c r="CB122" s="11"/>
      <c r="CC122" s="11"/>
      <c r="CD122" s="11"/>
      <c r="CE122" s="11"/>
      <c r="CF122" s="11"/>
      <c r="CG122" s="11"/>
      <c r="CH122" s="11"/>
      <c r="CI122" s="11"/>
      <c r="CJ122" s="11"/>
      <c r="CK122" s="11"/>
      <c r="CL122" s="11"/>
      <c r="CM122" s="11"/>
      <c r="CN122" s="11"/>
      <c r="CO122" s="11"/>
      <c r="CP122" s="11"/>
      <c r="CQ122" s="11"/>
      <c r="CR122" s="11"/>
      <c r="CS122" s="11"/>
      <c r="CT122" s="11"/>
      <c r="CU122" s="11"/>
      <c r="CV122" s="11"/>
      <c r="CW122" s="11"/>
      <c r="CX122" s="11"/>
      <c r="CY122" s="11"/>
      <c r="CZ122" s="11"/>
      <c r="DA122" s="11"/>
      <c r="DB122" s="11"/>
      <c r="DC122" s="11"/>
      <c r="DD122" s="11"/>
      <c r="DE122" s="11"/>
      <c r="DF122" s="11"/>
      <c r="DG122" s="11"/>
      <c r="DH122" s="11"/>
      <c r="DI122" s="11"/>
      <c r="DJ122" s="11"/>
      <c r="DK122" s="11"/>
      <c r="DL122" s="11"/>
      <c r="DM122" s="11"/>
      <c r="DN122" s="11"/>
      <c r="DO122" s="11"/>
      <c r="DP122" s="11"/>
      <c r="DQ122" s="11"/>
      <c r="DR122" s="11"/>
      <c r="DS122" s="11"/>
      <c r="DT122" s="11"/>
      <c r="DU122" s="11"/>
      <c r="DV122" s="11"/>
      <c r="DW122" s="11"/>
      <c r="EH122" s="11"/>
      <c r="EI122" s="11"/>
      <c r="EJ122" s="11"/>
      <c r="EK122" s="11"/>
      <c r="EL122" s="11"/>
      <c r="EM122" s="11"/>
      <c r="EN122" s="11"/>
      <c r="EO122" s="11"/>
      <c r="EP122" s="11"/>
      <c r="EQ122" s="11"/>
      <c r="ER122" s="11"/>
      <c r="ES122" s="11"/>
      <c r="ET122" s="11"/>
      <c r="EU122" s="11"/>
      <c r="EV122" s="11"/>
      <c r="EW122" s="11"/>
      <c r="EX122" s="11"/>
      <c r="EY122" s="11"/>
      <c r="EZ122" s="11"/>
      <c r="FA122" s="11"/>
      <c r="FB122" s="11"/>
      <c r="FC122" s="11"/>
    </row>
    <row r="123" spans="1:159" ht="12" customHeight="1" x14ac:dyDescent="0.25">
      <c r="G123" s="5"/>
      <c r="H123" s="5"/>
      <c r="I123" s="5"/>
      <c r="J123" s="5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EL123" s="11"/>
      <c r="EM123" s="11"/>
      <c r="EN123" s="11"/>
      <c r="EO123" s="11"/>
      <c r="EP123" s="11"/>
      <c r="EQ123" s="11"/>
      <c r="ER123" s="11"/>
      <c r="ES123" s="11"/>
      <c r="ET123" s="11"/>
      <c r="EU123" s="11"/>
      <c r="EV123" s="11"/>
      <c r="EW123" s="11"/>
      <c r="EX123" s="11"/>
      <c r="EY123" s="11"/>
      <c r="EZ123" s="11"/>
      <c r="FA123" s="11"/>
      <c r="FB123" s="11"/>
      <c r="FC123" s="11"/>
    </row>
    <row r="124" spans="1:159" ht="12" customHeight="1" x14ac:dyDescent="0.25">
      <c r="G124"/>
      <c r="H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EB124" s="11"/>
      <c r="EC124" s="11"/>
      <c r="ED124" s="11"/>
      <c r="EE124" s="11"/>
      <c r="EF124" s="11"/>
      <c r="EG124" s="11"/>
      <c r="EH124" s="11"/>
      <c r="EI124" s="11"/>
      <c r="EJ124" s="11"/>
      <c r="EK124" s="11"/>
      <c r="EL124" s="11"/>
      <c r="EM124" s="11"/>
      <c r="EN124" s="11"/>
      <c r="EO124" s="11"/>
      <c r="EP124" s="11"/>
      <c r="EQ124" s="11"/>
      <c r="ER124" s="11"/>
      <c r="ES124" s="11"/>
      <c r="ET124" s="11"/>
      <c r="EU124" s="11"/>
      <c r="EV124" s="11"/>
      <c r="EW124" s="11"/>
      <c r="EX124" s="11"/>
      <c r="EY124" s="11"/>
      <c r="EZ124" s="11"/>
      <c r="FA124" s="11"/>
      <c r="FB124" s="11"/>
      <c r="FC124" s="11"/>
    </row>
  </sheetData>
  <sheetProtection password="C0A9" sheet="1" formatCells="0" formatColumns="0" formatRows="0" selectLockedCells="1" sort="0" autoFilter="0"/>
  <mergeCells count="117">
    <mergeCell ref="AK91:AW91"/>
    <mergeCell ref="G91:AA91"/>
    <mergeCell ref="J109:AA109"/>
    <mergeCell ref="AF109:AW109"/>
    <mergeCell ref="H101:Z101"/>
    <mergeCell ref="AF101:AW101"/>
    <mergeCell ref="I102:Z102"/>
    <mergeCell ref="AF102:AW102"/>
    <mergeCell ref="G93:AW93"/>
    <mergeCell ref="G94:AW99"/>
    <mergeCell ref="AF107:AW107"/>
    <mergeCell ref="J108:O108"/>
    <mergeCell ref="U108:AA108"/>
    <mergeCell ref="AF103:AW103"/>
    <mergeCell ref="J105:AA105"/>
    <mergeCell ref="AF105:AW105"/>
    <mergeCell ref="J106:AA106"/>
    <mergeCell ref="AF106:AW106"/>
    <mergeCell ref="J107:AA107"/>
    <mergeCell ref="AF81:AK81"/>
    <mergeCell ref="AF84:AW84"/>
    <mergeCell ref="AF85:AW85"/>
    <mergeCell ref="AF86:AK86"/>
    <mergeCell ref="AQ86:AW86"/>
    <mergeCell ref="AK90:AL90"/>
    <mergeCell ref="AM90:AW90"/>
    <mergeCell ref="G57:AW57"/>
    <mergeCell ref="G58:AW62"/>
    <mergeCell ref="H79:Z79"/>
    <mergeCell ref="AF79:AW79"/>
    <mergeCell ref="I80:Z80"/>
    <mergeCell ref="AF80:AW80"/>
    <mergeCell ref="G64:AW64"/>
    <mergeCell ref="G65:AW70"/>
    <mergeCell ref="G72:AW72"/>
    <mergeCell ref="G73:AW76"/>
    <mergeCell ref="G52:U52"/>
    <mergeCell ref="V52:Z52"/>
    <mergeCell ref="AA52:AU52"/>
    <mergeCell ref="AV52:AW52"/>
    <mergeCell ref="G53:U53"/>
    <mergeCell ref="V53:Z53"/>
    <mergeCell ref="AA53:AU53"/>
    <mergeCell ref="AV53:AW53"/>
    <mergeCell ref="G46:P46"/>
    <mergeCell ref="G49:AW49"/>
    <mergeCell ref="G50:AI50"/>
    <mergeCell ref="AJ50:AW50"/>
    <mergeCell ref="G51:AI51"/>
    <mergeCell ref="AJ51:AW51"/>
    <mergeCell ref="AB47:AH47"/>
    <mergeCell ref="AI47:AJ47"/>
    <mergeCell ref="AK47:AP47"/>
    <mergeCell ref="AQ47:AR47"/>
    <mergeCell ref="AB46:AH46"/>
    <mergeCell ref="AI46:AJ46"/>
    <mergeCell ref="AK46:AP46"/>
    <mergeCell ref="AQ46:AW46"/>
    <mergeCell ref="AS47:AW47"/>
    <mergeCell ref="Q46:AA46"/>
    <mergeCell ref="BJ33:BO36"/>
    <mergeCell ref="U35:AV35"/>
    <mergeCell ref="U36:AV36"/>
    <mergeCell ref="AQ43:AW43"/>
    <mergeCell ref="AK40:AP40"/>
    <mergeCell ref="AQ40:AW40"/>
    <mergeCell ref="S33:Z33"/>
    <mergeCell ref="AP33:AW33"/>
    <mergeCell ref="Q43:AA43"/>
    <mergeCell ref="AK41:AP41"/>
    <mergeCell ref="AQ44:AR44"/>
    <mergeCell ref="AB43:AH43"/>
    <mergeCell ref="AI43:AJ43"/>
    <mergeCell ref="AK43:AP43"/>
    <mergeCell ref="AS44:AW44"/>
    <mergeCell ref="AB44:AH44"/>
    <mergeCell ref="AI44:AJ44"/>
    <mergeCell ref="AK44:AP44"/>
    <mergeCell ref="AQ41:AR41"/>
    <mergeCell ref="AS41:AW41"/>
    <mergeCell ref="G29:I29"/>
    <mergeCell ref="K29:AW29"/>
    <mergeCell ref="S32:T32"/>
    <mergeCell ref="U32:Z32"/>
    <mergeCell ref="AP32:AW32"/>
    <mergeCell ref="G26:I26"/>
    <mergeCell ref="K26:AW26"/>
    <mergeCell ref="G27:I27"/>
    <mergeCell ref="K27:AW27"/>
    <mergeCell ref="G28:I28"/>
    <mergeCell ref="K28:AW28"/>
    <mergeCell ref="G13:I13"/>
    <mergeCell ref="K13:M13"/>
    <mergeCell ref="O13:AW16"/>
    <mergeCell ref="G24:I24"/>
    <mergeCell ref="K24:AW24"/>
    <mergeCell ref="G25:I25"/>
    <mergeCell ref="K25:AW25"/>
    <mergeCell ref="T3:AU3"/>
    <mergeCell ref="T4:AU4"/>
    <mergeCell ref="T5:AU5"/>
    <mergeCell ref="G18:AW18"/>
    <mergeCell ref="G20:AW20"/>
    <mergeCell ref="G22:I22"/>
    <mergeCell ref="K22:AW22"/>
    <mergeCell ref="G10:I10"/>
    <mergeCell ref="K10:M10"/>
    <mergeCell ref="O10:AW11"/>
    <mergeCell ref="G47:P47"/>
    <mergeCell ref="Q47:AA47"/>
    <mergeCell ref="G40:X40"/>
    <mergeCell ref="Y40:AJ40"/>
    <mergeCell ref="G41:X41"/>
    <mergeCell ref="Y41:AJ41"/>
    <mergeCell ref="G43:P43"/>
    <mergeCell ref="G44:P44"/>
    <mergeCell ref="Q44:AA44"/>
  </mergeCells>
  <conditionalFormatting sqref="G13:G14">
    <cfRule type="cellIs" dxfId="33" priority="64" stopIfTrue="1" operator="equal">
      <formula>0</formula>
    </cfRule>
  </conditionalFormatting>
  <conditionalFormatting sqref="AK41:AW41 AK44:AW44">
    <cfRule type="cellIs" dxfId="32" priority="56" stopIfTrue="1" operator="equal">
      <formula>0</formula>
    </cfRule>
  </conditionalFormatting>
  <conditionalFormatting sqref="AB44:AH44">
    <cfRule type="cellIs" dxfId="31" priority="63" stopIfTrue="1" operator="equal">
      <formula>0</formula>
    </cfRule>
  </conditionalFormatting>
  <conditionalFormatting sqref="AI44:AJ44">
    <cfRule type="cellIs" dxfId="30" priority="62" stopIfTrue="1" operator="equal">
      <formula>0</formula>
    </cfRule>
  </conditionalFormatting>
  <conditionalFormatting sqref="AV53:AW53">
    <cfRule type="cellIs" dxfId="29" priority="60" stopIfTrue="1" operator="equal">
      <formula>0</formula>
    </cfRule>
  </conditionalFormatting>
  <conditionalFormatting sqref="G51:AW51">
    <cfRule type="cellIs" dxfId="28" priority="59" stopIfTrue="1" operator="equal">
      <formula>0</formula>
    </cfRule>
  </conditionalFormatting>
  <conditionalFormatting sqref="G53:AU53">
    <cfRule type="cellIs" dxfId="27" priority="58" stopIfTrue="1" operator="equal">
      <formula>0</formula>
    </cfRule>
  </conditionalFormatting>
  <conditionalFormatting sqref="AK47:AW47">
    <cfRule type="cellIs" dxfId="26" priority="53" stopIfTrue="1" operator="equal">
      <formula>0</formula>
    </cfRule>
  </conditionalFormatting>
  <conditionalFormatting sqref="AB47:AH47">
    <cfRule type="cellIs" dxfId="25" priority="55" stopIfTrue="1" operator="equal">
      <formula>0</formula>
    </cfRule>
  </conditionalFormatting>
  <conditionalFormatting sqref="AI47:AJ47">
    <cfRule type="cellIs" dxfId="24" priority="54" stopIfTrue="1" operator="equal">
      <formula>0</formula>
    </cfRule>
  </conditionalFormatting>
  <conditionalFormatting sqref="G65:AW68 G58:AW61 G94:AW99 G73:AW76">
    <cfRule type="cellIs" dxfId="23" priority="52" stopIfTrue="1" operator="equal">
      <formula>0</formula>
    </cfRule>
  </conditionalFormatting>
  <conditionalFormatting sqref="H79:Z79">
    <cfRule type="cellIs" dxfId="22" priority="47" stopIfTrue="1" operator="equal">
      <formula>0</formula>
    </cfRule>
  </conditionalFormatting>
  <conditionalFormatting sqref="H101:Z101">
    <cfRule type="cellIs" dxfId="21" priority="31" stopIfTrue="1" operator="equal">
      <formula>0</formula>
    </cfRule>
  </conditionalFormatting>
  <conditionalFormatting sqref="AF80:AW80">
    <cfRule type="cellIs" dxfId="20" priority="27" stopIfTrue="1" operator="equal">
      <formula>0</formula>
    </cfRule>
  </conditionalFormatting>
  <conditionalFormatting sqref="AF81:AK81">
    <cfRule type="cellIs" dxfId="19" priority="26" stopIfTrue="1" operator="equal">
      <formula>0</formula>
    </cfRule>
  </conditionalFormatting>
  <conditionalFormatting sqref="AQ86:AW86">
    <cfRule type="cellIs" dxfId="18" priority="25" stopIfTrue="1" operator="equal">
      <formula>"0/0"</formula>
    </cfRule>
  </conditionalFormatting>
  <conditionalFormatting sqref="AF85:AW85">
    <cfRule type="cellIs" dxfId="17" priority="24" stopIfTrue="1" operator="equal">
      <formula>0</formula>
    </cfRule>
  </conditionalFormatting>
  <conditionalFormatting sqref="AF86:AK86">
    <cfRule type="cellIs" dxfId="16" priority="23" stopIfTrue="1" operator="equal">
      <formula>0</formula>
    </cfRule>
  </conditionalFormatting>
  <conditionalFormatting sqref="AQ106:AW108">
    <cfRule type="cellIs" dxfId="15" priority="13" stopIfTrue="1" operator="equal">
      <formula>0</formula>
    </cfRule>
  </conditionalFormatting>
  <conditionalFormatting sqref="AF106:AK108">
    <cfRule type="cellIs" dxfId="14" priority="12" stopIfTrue="1" operator="equal">
      <formula>0</formula>
    </cfRule>
  </conditionalFormatting>
  <conditionalFormatting sqref="U108:AA108">
    <cfRule type="cellIs" dxfId="13" priority="11" stopIfTrue="1" operator="equal">
      <formula>0</formula>
    </cfRule>
  </conditionalFormatting>
  <conditionalFormatting sqref="AK91">
    <cfRule type="cellIs" dxfId="12" priority="18" stopIfTrue="1" operator="equal">
      <formula>0</formula>
    </cfRule>
  </conditionalFormatting>
  <conditionalFormatting sqref="S33:Z33">
    <cfRule type="cellIs" dxfId="11" priority="17" stopIfTrue="1" operator="equal">
      <formula>0</formula>
    </cfRule>
  </conditionalFormatting>
  <conditionalFormatting sqref="G44:P44 G47:P47">
    <cfRule type="cellIs" dxfId="10" priority="15" stopIfTrue="1" operator="equal">
      <formula>0</formula>
    </cfRule>
  </conditionalFormatting>
  <conditionalFormatting sqref="Q44:AA44 Q47:AA47">
    <cfRule type="cellIs" dxfId="9" priority="16" stopIfTrue="1" operator="equal">
      <formula>0</formula>
    </cfRule>
  </conditionalFormatting>
  <conditionalFormatting sqref="G41:AJ41">
    <cfRule type="cellIs" dxfId="8" priority="14" stopIfTrue="1" operator="equal">
      <formula>0</formula>
    </cfRule>
  </conditionalFormatting>
  <conditionalFormatting sqref="AF107:AW107">
    <cfRule type="cellIs" dxfId="7" priority="6" stopIfTrue="1" operator="equal">
      <formula>0</formula>
    </cfRule>
  </conditionalFormatting>
  <conditionalFormatting sqref="J106:AA106">
    <cfRule type="cellIs" dxfId="6" priority="10" stopIfTrue="1" operator="equal">
      <formula>0</formula>
    </cfRule>
  </conditionalFormatting>
  <conditionalFormatting sqref="J108:O108">
    <cfRule type="cellIs" dxfId="5" priority="9" stopIfTrue="1" operator="equal">
      <formula>0</formula>
    </cfRule>
  </conditionalFormatting>
  <conditionalFormatting sqref="J107:AA107">
    <cfRule type="cellIs" dxfId="4" priority="8" stopIfTrue="1" operator="equal">
      <formula>0</formula>
    </cfRule>
  </conditionalFormatting>
  <conditionalFormatting sqref="AF106:AW106">
    <cfRule type="cellIs" dxfId="3" priority="7" stopIfTrue="1" operator="equal">
      <formula>0</formula>
    </cfRule>
  </conditionalFormatting>
  <conditionalFormatting sqref="G62:AW62">
    <cfRule type="cellIs" dxfId="2" priority="3" stopIfTrue="1" operator="equal">
      <formula>0</formula>
    </cfRule>
  </conditionalFormatting>
  <conditionalFormatting sqref="G69:AW70">
    <cfRule type="cellIs" dxfId="1" priority="2" stopIfTrue="1" operator="equal">
      <formula>0</formula>
    </cfRule>
  </conditionalFormatting>
  <conditionalFormatting sqref="J109:AA109">
    <cfRule type="cellIs" dxfId="0" priority="1" stopIfTrue="1" operator="equal">
      <formula>0</formula>
    </cfRule>
  </conditionalFormatting>
  <dataValidations disablePrompts="1" count="1">
    <dataValidation type="list" allowBlank="1" showInputMessage="1" showErrorMessage="1" sqref="AF91:AI91" xr:uid="{00000000-0002-0000-0500-000000000000}">
      <formula1>"sim,não"</formula1>
    </dataValidation>
  </dataValidations>
  <printOptions horizontalCentered="1"/>
  <pageMargins left="0.78740157480314965" right="0.19685039370078741" top="0.78740157480314965" bottom="0.59055118110236227" header="0.39370078740157483" footer="0.39370078740157483"/>
  <pageSetup paperSize="9" scale="92" fitToHeight="0" orientation="portrait" horizontalDpi="1200" verticalDpi="1200" r:id="rId1"/>
  <headerFooter>
    <oddHeader>&amp;C&amp;6.&amp;L&amp;6Esse arquivo é gratuito e de uso
exclusivo entre CAIXA, seus
representantes legais e clientes. &amp;R&amp;6Esse Documento só tem validade se estiver
assinado pelo Proponente e pelo Responsável
Técnico pela execução da obra devidamente identificados.</oddHeader>
    <oddFooter>&amp;LVigência: 11/08/2023&amp;C&amp;A 
&amp;8Construção em Terreno Próprio e Aquisição de Terreno e Construção&amp;R&amp;P/&amp;N</oddFooter>
  </headerFooter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4"/>
  <dimension ref="B2:L40"/>
  <sheetViews>
    <sheetView topLeftCell="A13" workbookViewId="0">
      <selection activeCell="C19" sqref="C19"/>
    </sheetView>
  </sheetViews>
  <sheetFormatPr defaultRowHeight="13.2" x14ac:dyDescent="0.25"/>
  <cols>
    <col min="2" max="2" width="42.33203125" bestFit="1" customWidth="1"/>
    <col min="5" max="5" width="10.44140625" bestFit="1" customWidth="1"/>
  </cols>
  <sheetData>
    <row r="2" spans="2:10" x14ac:dyDescent="0.25">
      <c r="B2" s="77" t="s">
        <v>130</v>
      </c>
      <c r="C2" s="78" t="s">
        <v>131</v>
      </c>
      <c r="D2" s="78" t="s">
        <v>132</v>
      </c>
      <c r="E2" s="78" t="s">
        <v>133</v>
      </c>
      <c r="G2" t="s">
        <v>134</v>
      </c>
    </row>
    <row r="3" spans="2:10" x14ac:dyDescent="0.25">
      <c r="B3" s="77"/>
      <c r="C3" s="78" t="s">
        <v>131</v>
      </c>
      <c r="D3" s="78" t="s">
        <v>132</v>
      </c>
      <c r="E3" s="78" t="s">
        <v>133</v>
      </c>
      <c r="G3" t="s">
        <v>135</v>
      </c>
    </row>
    <row r="4" spans="2:10" x14ac:dyDescent="0.25">
      <c r="B4" s="77" t="s">
        <v>136</v>
      </c>
      <c r="C4" s="78" t="s">
        <v>131</v>
      </c>
      <c r="D4" s="78"/>
      <c r="E4" s="78"/>
      <c r="G4" t="s">
        <v>137</v>
      </c>
    </row>
    <row r="5" spans="2:10" x14ac:dyDescent="0.25">
      <c r="B5" s="77" t="s">
        <v>138</v>
      </c>
      <c r="C5" s="78" t="s">
        <v>131</v>
      </c>
      <c r="D5" s="78" t="s">
        <v>132</v>
      </c>
      <c r="E5" s="78" t="s">
        <v>133</v>
      </c>
      <c r="G5" t="s">
        <v>139</v>
      </c>
    </row>
    <row r="6" spans="2:10" x14ac:dyDescent="0.25">
      <c r="B6" s="77" t="s">
        <v>140</v>
      </c>
      <c r="C6" s="78" t="s">
        <v>131</v>
      </c>
      <c r="D6" s="78" t="s">
        <v>132</v>
      </c>
      <c r="E6" s="78" t="s">
        <v>133</v>
      </c>
      <c r="G6" t="s">
        <v>141</v>
      </c>
    </row>
    <row r="7" spans="2:10" x14ac:dyDescent="0.25">
      <c r="B7" s="77" t="s">
        <v>142</v>
      </c>
      <c r="C7" s="78" t="s">
        <v>143</v>
      </c>
      <c r="D7" s="78"/>
      <c r="E7" s="78"/>
      <c r="G7" t="s">
        <v>144</v>
      </c>
    </row>
    <row r="8" spans="2:10" x14ac:dyDescent="0.25">
      <c r="B8" s="77" t="s">
        <v>145</v>
      </c>
      <c r="C8" s="78" t="s">
        <v>146</v>
      </c>
      <c r="D8" s="78"/>
      <c r="E8" s="78"/>
    </row>
    <row r="9" spans="2:10" x14ac:dyDescent="0.25">
      <c r="B9" s="77" t="s">
        <v>147</v>
      </c>
      <c r="C9" s="78" t="s">
        <v>148</v>
      </c>
      <c r="D9" s="78"/>
      <c r="E9" s="78"/>
    </row>
    <row r="10" spans="2:10" x14ac:dyDescent="0.25">
      <c r="B10" s="77" t="s">
        <v>149</v>
      </c>
      <c r="C10" s="78" t="s">
        <v>150</v>
      </c>
      <c r="D10" s="78"/>
      <c r="E10" s="78"/>
    </row>
    <row r="11" spans="2:10" x14ac:dyDescent="0.25">
      <c r="B11" s="77" t="s">
        <v>151</v>
      </c>
      <c r="C11" s="78" t="s">
        <v>131</v>
      </c>
      <c r="D11" s="78" t="s">
        <v>132</v>
      </c>
      <c r="E11" s="78" t="s">
        <v>133</v>
      </c>
      <c r="F11" s="79" t="s">
        <v>110</v>
      </c>
    </row>
    <row r="12" spans="2:10" x14ac:dyDescent="0.25">
      <c r="B12" s="80"/>
    </row>
    <row r="13" spans="2:10" x14ac:dyDescent="0.25">
      <c r="B13" s="80"/>
    </row>
    <row r="14" spans="2:10" x14ac:dyDescent="0.25">
      <c r="B14" t="s">
        <v>152</v>
      </c>
      <c r="C14" t="s">
        <v>153</v>
      </c>
      <c r="D14" t="s">
        <v>154</v>
      </c>
      <c r="F14" t="s">
        <v>155</v>
      </c>
      <c r="J14" t="s">
        <v>156</v>
      </c>
    </row>
    <row r="15" spans="2:10" x14ac:dyDescent="0.25">
      <c r="B15" t="s">
        <v>157</v>
      </c>
      <c r="C15" t="s">
        <v>75</v>
      </c>
      <c r="D15" t="s">
        <v>158</v>
      </c>
      <c r="E15" t="s">
        <v>159</v>
      </c>
      <c r="F15" t="s">
        <v>155</v>
      </c>
    </row>
    <row r="16" spans="2:10" x14ac:dyDescent="0.25">
      <c r="B16" t="s">
        <v>160</v>
      </c>
      <c r="C16" t="s">
        <v>75</v>
      </c>
      <c r="D16" t="s">
        <v>158</v>
      </c>
      <c r="F16" t="s">
        <v>155</v>
      </c>
    </row>
    <row r="17" spans="2:12" x14ac:dyDescent="0.25">
      <c r="B17" t="s">
        <v>161</v>
      </c>
      <c r="C17" t="s">
        <v>75</v>
      </c>
      <c r="D17" t="s">
        <v>158</v>
      </c>
      <c r="E17" t="s">
        <v>162</v>
      </c>
      <c r="F17" t="s">
        <v>155</v>
      </c>
    </row>
    <row r="18" spans="2:12" x14ac:dyDescent="0.25">
      <c r="B18" t="s">
        <v>70</v>
      </c>
      <c r="C18" t="s">
        <v>75</v>
      </c>
      <c r="D18" t="s">
        <v>158</v>
      </c>
      <c r="F18" t="s">
        <v>155</v>
      </c>
    </row>
    <row r="19" spans="2:12" x14ac:dyDescent="0.25">
      <c r="B19" t="s">
        <v>163</v>
      </c>
      <c r="C19" t="s">
        <v>75</v>
      </c>
      <c r="D19" t="s">
        <v>158</v>
      </c>
      <c r="F19" t="s">
        <v>155</v>
      </c>
    </row>
    <row r="20" spans="2:12" x14ac:dyDescent="0.25">
      <c r="B20" t="s">
        <v>164</v>
      </c>
      <c r="C20" t="s">
        <v>75</v>
      </c>
      <c r="D20" t="s">
        <v>158</v>
      </c>
      <c r="F20" t="s">
        <v>155</v>
      </c>
    </row>
    <row r="21" spans="2:12" x14ac:dyDescent="0.25">
      <c r="B21" t="s">
        <v>165</v>
      </c>
      <c r="C21" t="s">
        <v>75</v>
      </c>
      <c r="D21" t="s">
        <v>158</v>
      </c>
      <c r="F21" t="s">
        <v>155</v>
      </c>
    </row>
    <row r="22" spans="2:12" x14ac:dyDescent="0.25">
      <c r="B22" t="s">
        <v>166</v>
      </c>
      <c r="C22" t="s">
        <v>75</v>
      </c>
      <c r="D22" t="s">
        <v>158</v>
      </c>
      <c r="E22" t="s">
        <v>159</v>
      </c>
      <c r="F22" t="s">
        <v>155</v>
      </c>
    </row>
    <row r="23" spans="2:12" x14ac:dyDescent="0.25">
      <c r="B23" t="s">
        <v>167</v>
      </c>
      <c r="C23" t="s">
        <v>75</v>
      </c>
      <c r="D23" t="s">
        <v>158</v>
      </c>
      <c r="E23" t="s">
        <v>159</v>
      </c>
      <c r="F23" t="s">
        <v>155</v>
      </c>
    </row>
    <row r="24" spans="2:12" x14ac:dyDescent="0.25">
      <c r="B24" t="s">
        <v>168</v>
      </c>
      <c r="C24" t="s">
        <v>75</v>
      </c>
      <c r="D24" t="s">
        <v>158</v>
      </c>
      <c r="E24" t="s">
        <v>162</v>
      </c>
      <c r="F24" t="s">
        <v>155</v>
      </c>
    </row>
    <row r="29" spans="2:12" x14ac:dyDescent="0.25">
      <c r="J29" t="s">
        <v>169</v>
      </c>
      <c r="K29" t="s">
        <v>170</v>
      </c>
      <c r="L29" t="s">
        <v>171</v>
      </c>
    </row>
    <row r="30" spans="2:12" x14ac:dyDescent="0.25">
      <c r="G30" t="s">
        <v>75</v>
      </c>
    </row>
    <row r="31" spans="2:12" ht="13.8" thickBot="1" x14ac:dyDescent="0.3">
      <c r="B31" s="81" t="s">
        <v>172</v>
      </c>
      <c r="C31" t="s">
        <v>172</v>
      </c>
      <c r="G31" t="s">
        <v>173</v>
      </c>
    </row>
    <row r="32" spans="2:12" ht="13.8" thickBot="1" x14ac:dyDescent="0.3">
      <c r="B32" s="81" t="s">
        <v>174</v>
      </c>
      <c r="C32" t="s">
        <v>174</v>
      </c>
      <c r="G32" t="s">
        <v>175</v>
      </c>
    </row>
    <row r="33" spans="2:7" ht="13.8" thickBot="1" x14ac:dyDescent="0.3">
      <c r="B33" s="81" t="s">
        <v>176</v>
      </c>
      <c r="C33" t="s">
        <v>176</v>
      </c>
      <c r="G33" t="s">
        <v>177</v>
      </c>
    </row>
    <row r="34" spans="2:7" ht="13.8" thickBot="1" x14ac:dyDescent="0.3">
      <c r="B34" s="81" t="s">
        <v>178</v>
      </c>
      <c r="C34" t="s">
        <v>178</v>
      </c>
      <c r="G34" t="s">
        <v>179</v>
      </c>
    </row>
    <row r="35" spans="2:7" ht="13.8" thickBot="1" x14ac:dyDescent="0.3">
      <c r="B35" s="81" t="s">
        <v>180</v>
      </c>
      <c r="C35" t="s">
        <v>180</v>
      </c>
      <c r="G35" t="s">
        <v>181</v>
      </c>
    </row>
    <row r="36" spans="2:7" ht="13.8" thickBot="1" x14ac:dyDescent="0.3">
      <c r="B36" s="81" t="s">
        <v>182</v>
      </c>
      <c r="C36" t="s">
        <v>182</v>
      </c>
      <c r="G36" t="s">
        <v>183</v>
      </c>
    </row>
    <row r="37" spans="2:7" ht="13.8" thickBot="1" x14ac:dyDescent="0.3">
      <c r="B37" s="81" t="s">
        <v>184</v>
      </c>
      <c r="C37" t="s">
        <v>184</v>
      </c>
      <c r="G37" t="s">
        <v>185</v>
      </c>
    </row>
    <row r="38" spans="2:7" ht="13.8" thickBot="1" x14ac:dyDescent="0.3">
      <c r="B38" s="81" t="s">
        <v>186</v>
      </c>
      <c r="C38" t="s">
        <v>186</v>
      </c>
      <c r="G38" t="s">
        <v>187</v>
      </c>
    </row>
    <row r="39" spans="2:7" ht="13.8" thickBot="1" x14ac:dyDescent="0.3">
      <c r="B39" s="81" t="s">
        <v>188</v>
      </c>
      <c r="C39" t="s">
        <v>188</v>
      </c>
      <c r="G39" t="s">
        <v>189</v>
      </c>
    </row>
    <row r="40" spans="2:7" ht="13.8" thickBot="1" x14ac:dyDescent="0.3">
      <c r="B40" s="81" t="s">
        <v>190</v>
      </c>
      <c r="C40" t="s">
        <v>190</v>
      </c>
      <c r="G40" t="s">
        <v>191</v>
      </c>
    </row>
  </sheetData>
  <sheetProtection selectLockedCells="1"/>
  <pageMargins left="0.51181102362204722" right="0.51181102362204722" top="0.78740157480314965" bottom="0.78740157480314965" header="0.31496062992125984" footer="0.31496062992125984"/>
  <pageSetup paperSize="9" orientation="portrait" r:id="rId1"/>
  <headerFooter>
    <oddHeader>&amp;L&amp;6Esse arquivo é gratuito e de uso
exclusivo entre CAIXA, seus
representantes legais e clientes. &amp;R&amp;6Esse Documento só tem validade se estiver
assinado pelo Proponente e pelo Responsável
Técnico pela execução da obra devidamente identificados.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>4</_ip_UnifiedCompliancePolicyUIAction>
    <_ip_UnifiedCompliancePolicyProperties xmlns="http://schemas.microsoft.com/sharepoint/v3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6CA804A5F990849B7275BD4258843AB" ma:contentTypeVersion="4" ma:contentTypeDescription="Crie um novo documento." ma:contentTypeScope="" ma:versionID="ca89611b60789e010d4bd033b2e18c8f">
  <xsd:schema xmlns:xsd="http://www.w3.org/2001/XMLSchema" xmlns:xs="http://www.w3.org/2001/XMLSchema" xmlns:p="http://schemas.microsoft.com/office/2006/metadata/properties" xmlns:ns1="http://schemas.microsoft.com/sharepoint/v3" xmlns:ns2="a1db47c8-f543-4f1c-93f5-d218e0f5d8ac" targetNamespace="http://schemas.microsoft.com/office/2006/metadata/properties" ma:root="true" ma:fieldsID="0ac624392285a8e717d4c3bdda4e6624" ns1:_="" ns2:_="">
    <xsd:import namespace="http://schemas.microsoft.com/sharepoint/v3"/>
    <xsd:import namespace="a1db47c8-f543-4f1c-93f5-d218e0f5d8a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1:_ip_UnifiedCompliancePolicyProperties" minOccurs="0"/>
                <xsd:element ref="ns1:_ip_UnifiedCompliancePolicyUIAc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0" nillable="true" ma:displayName="Propriedades da Política de Conformidade Unificada" ma:hidden="true" ma:internalName="_ip_UnifiedCompliancePolicyProperties">
      <xsd:simpleType>
        <xsd:restriction base="dms:Note"/>
      </xsd:simpleType>
    </xsd:element>
    <xsd:element name="_ip_UnifiedCompliancePolicyUIAction" ma:index="11" nillable="true" ma:displayName="Ação de Interface do Usuário da Política de Conformidade Unificada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db47c8-f543-4f1c-93f5-d218e0f5d8a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C505C05-4577-42CB-8D9E-63DEB82BAE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5A44C4B-0943-4B78-9D4D-1765E1222703}">
  <ds:schemaRefs>
    <ds:schemaRef ds:uri="http://purl.org/dc/elements/1.1/"/>
    <ds:schemaRef ds:uri="http://schemas.microsoft.com/office/2006/metadata/properties"/>
    <ds:schemaRef ds:uri="http://schemas.microsoft.com/sharepoint/v3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2006/documentManagement/types"/>
    <ds:schemaRef ds:uri="http://schemas.microsoft.com/office/infopath/2007/PartnerControls"/>
    <ds:schemaRef ds:uri="a1db47c8-f543-4f1c-93f5-d218e0f5d8ac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07F20E7E-6E19-4CB6-89BC-B4F987FCBC3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a1db47c8-f543-4f1c-93f5-d218e0f5d8a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21</vt:i4>
      </vt:variant>
    </vt:vector>
  </HeadingPairs>
  <TitlesOfParts>
    <vt:vector size="26" baseType="lpstr">
      <vt:lpstr>Proposta_Constr_Individual</vt:lpstr>
      <vt:lpstr>PLS</vt:lpstr>
      <vt:lpstr>Calculos_Cronograma</vt:lpstr>
      <vt:lpstr>Reprog_Cronograma</vt:lpstr>
      <vt:lpstr>Reprog_Projeto_Especific</vt:lpstr>
      <vt:lpstr>PLS!Area_de_impressao</vt:lpstr>
      <vt:lpstr>Proposta_Constr_Individual!Area_de_impressao</vt:lpstr>
      <vt:lpstr>Reprog_Cronograma!Area_de_impressao</vt:lpstr>
      <vt:lpstr>Reprog_Projeto_Especific!Area_de_impressao</vt:lpstr>
      <vt:lpstr>G_AS</vt:lpstr>
      <vt:lpstr>G_Ini</vt:lpstr>
      <vt:lpstr>J_AS</vt:lpstr>
      <vt:lpstr>J_ini</vt:lpstr>
      <vt:lpstr>P_AS</vt:lpstr>
      <vt:lpstr>P_F01</vt:lpstr>
      <vt:lpstr>P_Ini</vt:lpstr>
      <vt:lpstr>PerConc</vt:lpstr>
      <vt:lpstr>Reprog_Cronograma!quadro2</vt:lpstr>
      <vt:lpstr>Reprog_Projeto_Especific!quadro2</vt:lpstr>
      <vt:lpstr>quadro2</vt:lpstr>
      <vt:lpstr>S_AS</vt:lpstr>
      <vt:lpstr>S_Ini</vt:lpstr>
      <vt:lpstr>PLS!Titulos_de_impressao</vt:lpstr>
      <vt:lpstr>Proposta_Constr_Individual!Titulos_de_impressao</vt:lpstr>
      <vt:lpstr>Reprog_Cronograma!Titulos_de_impressao</vt:lpstr>
      <vt:lpstr>Reprog_Projeto_Especific!Titulos_de_impressao</vt:lpstr>
    </vt:vector>
  </TitlesOfParts>
  <Company>Caixa Econômica Federal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c069326</dc:creator>
  <cp:lastModifiedBy>Guilherme</cp:lastModifiedBy>
  <cp:lastPrinted>2023-08-16T23:04:23Z</cp:lastPrinted>
  <dcterms:created xsi:type="dcterms:W3CDTF">2013-06-21T15:03:04Z</dcterms:created>
  <dcterms:modified xsi:type="dcterms:W3CDTF">2023-11-19T17:49:05Z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0x01010086CA804A5F990849B7275BD4258843AB</vt:lpwstr>
  </property>
  <property fmtid="{D5CDD505-2E9C-101B-9397-08002B2CF9AE}" pid="3" name="MSIP_Label_f1a47ad8-907a-4afd-bc2a-6b2ee4f96f0c_Enabled">
    <vt:lpwstr>true</vt:lpwstr>
  </property>
  <property fmtid="{D5CDD505-2E9C-101B-9397-08002B2CF9AE}" pid="4" name="MSIP_Label_f1a47ad8-907a-4afd-bc2a-6b2ee4f96f0c_SetDate">
    <vt:lpwstr>2023-08-10T12:11:43Z</vt:lpwstr>
  </property>
  <property fmtid="{D5CDD505-2E9C-101B-9397-08002B2CF9AE}" pid="5" name="MSIP_Label_f1a47ad8-907a-4afd-bc2a-6b2ee4f96f0c_Method">
    <vt:lpwstr>Privileged</vt:lpwstr>
  </property>
  <property fmtid="{D5CDD505-2E9C-101B-9397-08002B2CF9AE}" pid="6" name="MSIP_Label_f1a47ad8-907a-4afd-bc2a-6b2ee4f96f0c_Name">
    <vt:lpwstr>#EXTERNO_CONFIDENCIAL</vt:lpwstr>
  </property>
  <property fmtid="{D5CDD505-2E9C-101B-9397-08002B2CF9AE}" pid="7" name="MSIP_Label_f1a47ad8-907a-4afd-bc2a-6b2ee4f96f0c_SiteId">
    <vt:lpwstr>ab9bba98-684a-43fb-add8-9c2bebede229</vt:lpwstr>
  </property>
  <property fmtid="{D5CDD505-2E9C-101B-9397-08002B2CF9AE}" pid="8" name="MSIP_Label_f1a47ad8-907a-4afd-bc2a-6b2ee4f96f0c_ActionId">
    <vt:lpwstr>34dbca81-7947-4ade-a24c-9464f42d2255</vt:lpwstr>
  </property>
  <property fmtid="{D5CDD505-2E9C-101B-9397-08002B2CF9AE}" pid="9" name="MSIP_Label_f1a47ad8-907a-4afd-bc2a-6b2ee4f96f0c_ContentBits">
    <vt:lpwstr>3</vt:lpwstr>
  </property>
</Properties>
</file>